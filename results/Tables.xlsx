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75e6f5abe99031a/Documents/Work/25 Fall/IE490/Codes/ArticleCodes/Revision/results/"/>
    </mc:Choice>
  </mc:AlternateContent>
  <xr:revisionPtr revIDLastSave="448" documentId="11_F25DC773A252ABDACC10482D295859785BDE58E4" xr6:coauthVersionLast="47" xr6:coauthVersionMax="47" xr10:uidLastSave="{FD71F0D9-32F0-46D5-8749-69D74EF24AE8}"/>
  <bookViews>
    <workbookView xWindow="-108" yWindow="-108" windowWidth="23256" windowHeight="12456" activeTab="1" xr2:uid="{00000000-000D-0000-FFFF-FFFF00000000}"/>
  </bookViews>
  <sheets>
    <sheet name="Predictions" sheetId="1" r:id="rId1"/>
    <sheet name="Candidate Sites" sheetId="3" r:id="rId2"/>
    <sheet name="Time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0" i="1" l="1"/>
  <c r="N80" i="1"/>
  <c r="M80" i="1"/>
  <c r="O67" i="1"/>
  <c r="N67" i="1"/>
  <c r="M67" i="1"/>
  <c r="O54" i="1"/>
  <c r="N54" i="1"/>
  <c r="M54" i="1"/>
  <c r="AB38" i="1"/>
  <c r="W38" i="1"/>
  <c r="AB19" i="1"/>
  <c r="W19" i="1"/>
  <c r="R38" i="1"/>
  <c r="M38" i="1"/>
  <c r="R19" i="1"/>
  <c r="M19" i="1"/>
  <c r="H19" i="1"/>
</calcChain>
</file>

<file path=xl/sharedStrings.xml><?xml version="1.0" encoding="utf-8"?>
<sst xmlns="http://schemas.openxmlformats.org/spreadsheetml/2006/main" count="667" uniqueCount="393">
  <si>
    <t>City</t>
  </si>
  <si>
    <t>Hattus</t>
  </si>
  <si>
    <t>Kanes</t>
  </si>
  <si>
    <t>Karahna</t>
  </si>
  <si>
    <t>Tapaggas</t>
  </si>
  <si>
    <t>Hanaknak</t>
  </si>
  <si>
    <t>Hurama</t>
  </si>
  <si>
    <t>Malitta</t>
  </si>
  <si>
    <t>Salatuwar</t>
  </si>
  <si>
    <t>Samuha</t>
  </si>
  <si>
    <t>Timelkiya</t>
  </si>
  <si>
    <t>Ulama</t>
  </si>
  <si>
    <t>Unipsum</t>
  </si>
  <si>
    <t>Wahsusana</t>
  </si>
  <si>
    <t>Zimishuna</t>
  </si>
  <si>
    <t>Mamma</t>
  </si>
  <si>
    <t>Actual Lat</t>
  </si>
  <si>
    <t>Actual Long</t>
  </si>
  <si>
    <t>Bajramovic et. al</t>
  </si>
  <si>
    <t>GCN TII Bootstrapping</t>
  </si>
  <si>
    <t>MDS Dyadic Bootstrapping</t>
  </si>
  <si>
    <t>MDS TII Bootstrapping</t>
  </si>
  <si>
    <t>Est Lat</t>
  </si>
  <si>
    <t>Est Long</t>
  </si>
  <si>
    <t>Error (km)</t>
  </si>
  <si>
    <t>Mean_Long</t>
  </si>
  <si>
    <t>Mean_Lat</t>
  </si>
  <si>
    <t>Std_Long</t>
  </si>
  <si>
    <t>Std_Lat</t>
  </si>
  <si>
    <t>Error_KM</t>
  </si>
  <si>
    <t>Ancient</t>
  </si>
  <si>
    <t>GCN Dyadic</t>
  </si>
  <si>
    <t>GCN TII</t>
  </si>
  <si>
    <t>Modern</t>
  </si>
  <si>
    <t>GCN Modern Dyadic Bootstrapping</t>
  </si>
  <si>
    <t>GCN Modern TII Bootstrapping</t>
  </si>
  <si>
    <t>MDS Modern Dyadic Bootstrapping</t>
  </si>
  <si>
    <t>MDS Modern TII Bootstrapping</t>
  </si>
  <si>
    <t>city</t>
  </si>
  <si>
    <t>actual_lat</t>
  </si>
  <si>
    <t>actual_long</t>
  </si>
  <si>
    <t>ADIYAMAN</t>
  </si>
  <si>
    <t>AKSARAY</t>
  </si>
  <si>
    <t>AMASYA</t>
  </si>
  <si>
    <t>ÇANKIRI</t>
  </si>
  <si>
    <t>ÇORUM</t>
  </si>
  <si>
    <t>KAHRAMANMARAŞ</t>
  </si>
  <si>
    <t>KAYSERİ</t>
  </si>
  <si>
    <t>KIRIKKALE</t>
  </si>
  <si>
    <t>KIRŞEHİR</t>
  </si>
  <si>
    <t>MALATYA</t>
  </si>
  <si>
    <t>NEVŞEHİR</t>
  </si>
  <si>
    <t>NİĞDE</t>
  </si>
  <si>
    <t>SİVAS</t>
  </si>
  <si>
    <t>TOKAT</t>
  </si>
  <si>
    <t>YOZGAT</t>
  </si>
  <si>
    <t>GCN Dyadic Resuts</t>
  </si>
  <si>
    <t>Bajramovic 2011</t>
  </si>
  <si>
    <t>Forlanini 2008</t>
  </si>
  <si>
    <t>Dist_to_Baj</t>
  </si>
  <si>
    <t>Durhumit</t>
  </si>
  <si>
    <t>Hahhum</t>
  </si>
  <si>
    <t>Kuburnat</t>
  </si>
  <si>
    <t>Ninassa</t>
  </si>
  <si>
    <t>Purushaddum</t>
  </si>
  <si>
    <t>Sinahuttum</t>
  </si>
  <si>
    <t>Suppiluliya</t>
  </si>
  <si>
    <t>Tuhpiya</t>
  </si>
  <si>
    <t>Washaniya</t>
  </si>
  <si>
    <t>Zalpa</t>
  </si>
  <si>
    <t>Constrained</t>
  </si>
  <si>
    <t>UnConstrained</t>
  </si>
  <si>
    <t>GCN Dyadic Constrained Results</t>
  </si>
  <si>
    <t>--- Durhumit: top 10 candidates (158 scored) ---</t>
  </si>
  <si>
    <t>lat</t>
  </si>
  <si>
    <t>lon</t>
  </si>
  <si>
    <t>elevation_m</t>
  </si>
  <si>
    <t>slope_deg</t>
  </si>
  <si>
    <t>dist_water_km</t>
  </si>
  <si>
    <t>dist_known_site_km</t>
  </si>
  <si>
    <t>dist_to_prediction_km</t>
  </si>
  <si>
    <t>rank_score</t>
  </si>
  <si>
    <t>Known site(s) inside this ellipse, ranked against all 158 candidates:</t>
  </si>
  <si>
    <t>Known site(s) inside this ellipse, ranked against all 151 candidates:</t>
  </si>
  <si>
    <t>Known site(s) inside this ellipse, ranked against all 169 candidates:</t>
  </si>
  <si>
    <t>Known site(s) inside this ellipse, ranked against all 154 candidates:</t>
  </si>
  <si>
    <t>LOO Procedure</t>
  </si>
  <si>
    <t>MODERN CITY Procedure</t>
  </si>
  <si>
    <t>LOST CITY Procedure</t>
  </si>
  <si>
    <t>PAST PREDICTIONS</t>
  </si>
  <si>
    <t>MDS Dyadic Results</t>
  </si>
  <si>
    <t>GCN Constrained Geoscreened Candidate Sites</t>
  </si>
  <si>
    <t>MDS Geoscreened Candidate Sites</t>
  </si>
  <si>
    <t xml:space="preserve">    Topaklı: rank 1 of 158 (distance to prediction: 72.7 km)</t>
  </si>
  <si>
    <t xml:space="preserve">    Çadır (Sorgun): rank 15 of 158 (distance to prediction: 35.5 km)</t>
  </si>
  <si>
    <t xml:space="preserve">    Uşaklı/Kuşaklı Höyük: rank 20 of 158 (distance to prediction: 35.5 km)</t>
  </si>
  <si>
    <t xml:space="preserve">    Suluca Karahöyük (Hacıbektaş): rank 29 of 158 (distance to prediction: 82.8 km)</t>
  </si>
  <si>
    <t xml:space="preserve">    Zank: rank 30 of 158 (distance to prediction: 79.1 km)</t>
  </si>
  <si>
    <t xml:space="preserve">    Eskiyapar: rank 30 of 158 (distance to prediction: 55.6 km)</t>
  </si>
  <si>
    <t xml:space="preserve">    Çengeltepe: rank 35 of 158 (distance to prediction: 23.1 km)</t>
  </si>
  <si>
    <t xml:space="preserve">    Alaca Höyük: rank 41 of 158 (distance to prediction: 63.5 km)</t>
  </si>
  <si>
    <t xml:space="preserve">    Yassıhöyük (Yozgat): rank 85 of 158 (distance to prediction: 38.7 km)</t>
  </si>
  <si>
    <t xml:space="preserve">    Boğazlıyan/Yoğunhisar: rank 103 of 158 (distance to prediction: 69.6 km)</t>
  </si>
  <si>
    <t xml:space="preserve">    Büyüknefes (Bronze Age Site): rank 135 of 158 (distance to prediction: 29.5 km)</t>
  </si>
  <si>
    <t xml:space="preserve">    Yassıhöyük (Çoğun/Kırşehir): rank 139 of 158 (distance to prediction: 68.9 km)</t>
  </si>
  <si>
    <t xml:space="preserve">    Boyalı: rank 149 of 158 (distance to prediction: 83.4 km)</t>
  </si>
  <si>
    <t>--- Hahhum: top 10 candidates (151 scored) ---</t>
  </si>
  <si>
    <t xml:space="preserve">    Çadır (Sorgun): rank 45 of 151 (distance to prediction: 59.6 km)</t>
  </si>
  <si>
    <t xml:space="preserve">    Boğazlıyan/Yoğunhisar: rank 63 of 151 (distance to prediction: 49.6 km)</t>
  </si>
  <si>
    <t xml:space="preserve">    Uşaklı/Kuşaklı Höyük: rank 77 of 151 (distance to prediction: 70.3 km)</t>
  </si>
  <si>
    <t xml:space="preserve">    Üyük: rank 143 of 151 (distance to prediction: 84.6 km)</t>
  </si>
  <si>
    <t>--- Kuburnat: top 10 candidates (156 scored) ---</t>
  </si>
  <si>
    <t>Known site(s) inside this ellipse, ranked against all 156 candidates:</t>
  </si>
  <si>
    <t xml:space="preserve">    Sarız: rank 7 of 156 (distance to prediction: 77.8 km)</t>
  </si>
  <si>
    <t xml:space="preserve">    Kayapınar Höyüğü: rank 17 of 156 (distance to prediction: 126.0 km)</t>
  </si>
  <si>
    <t xml:space="preserve">    Bolus (Aktepe): rank 38 of 156 (distance to prediction: 109.2 km)</t>
  </si>
  <si>
    <t xml:space="preserve">    Yassıhöyük (Tanır): rank 53 of 156 (distance to prediction: 81.6 km)</t>
  </si>
  <si>
    <t xml:space="preserve">    Boğazlıyan/Yoğunhisar: rank 68 of 156 (distance to prediction: 140.0 km)</t>
  </si>
  <si>
    <t xml:space="preserve">    Yalak (Boz Höyük): rank 99 of 156 (distance to prediction: 97.3 km)</t>
  </si>
  <si>
    <t xml:space="preserve">    Üyük: rank 119 of 156 (distance to prediction: 142.8 km)</t>
  </si>
  <si>
    <t>--- Ninassa: top 10 candidates (179 scored) ---</t>
  </si>
  <si>
    <t>Known site(s) inside this ellipse, ranked against all 179 candidates:</t>
  </si>
  <si>
    <t xml:space="preserve">    Suluca Karahöyük (Hacıbektaş): rank 2 of 179 (distance to prediction: 26.3 km)</t>
  </si>
  <si>
    <t xml:space="preserve">    Topaklı: rank 3 of 179 (distance to prediction: 45.7 km)</t>
  </si>
  <si>
    <t xml:space="preserve">    Zank: rank 7 of 179 (distance to prediction: 43.9 km)</t>
  </si>
  <si>
    <t xml:space="preserve">    Harmandalı: rank 15 of 179 (distance to prediction: 35.0 km)</t>
  </si>
  <si>
    <t xml:space="preserve">    Doğantepe: rank 19 of 179 (distance to prediction: 203.3 km)</t>
  </si>
  <si>
    <t xml:space="preserve">    Acemhöyük: rank 23 of 179 (distance to prediction: 85.1 km)</t>
  </si>
  <si>
    <t xml:space="preserve">    Çadır (Sorgun): rank 25 of 179 (distance to prediction: 98.6 km)</t>
  </si>
  <si>
    <t xml:space="preserve">    Topakhöyük: rank 27 of 179 (distance to prediction: 51.9 km)</t>
  </si>
  <si>
    <t xml:space="preserve">    Oluz Höyük: rank 30 of 179 (distance to prediction: 200.2 km)</t>
  </si>
  <si>
    <t xml:space="preserve">    Uşaklı/Kuşaklı Höyük: rank 32 of 179 (distance to prediction: 105.8 km)</t>
  </si>
  <si>
    <t xml:space="preserve">    Boğazlıyan/Yoğunhisar: rank 33 of 179 (distance to prediction: 80.8 km)</t>
  </si>
  <si>
    <t xml:space="preserve">    Eskiyapar: rank 34 of 179 (distance to prediction: 126.8 km)</t>
  </si>
  <si>
    <t xml:space="preserve">    Alaca Höyük: rank 37 of 179 (distance to prediction: 132.0 km)</t>
  </si>
  <si>
    <t xml:space="preserve">    Çengeltepe: rank 42 of 179 (distance to prediction: 97.7 km)</t>
  </si>
  <si>
    <t xml:space="preserve">    Kayapınar Höyüğü: rank 45 of 179 (distance to prediction: 208.0 km)</t>
  </si>
  <si>
    <t xml:space="preserve">    Ayvalıpınar: rank 51 of 179 (distance to prediction: 193.1 km)</t>
  </si>
  <si>
    <t xml:space="preserve">    Yassıhöyük (Çoğun/Kırşehir): rank 54 of 179 (distance to prediction: 34.0 km)</t>
  </si>
  <si>
    <t xml:space="preserve">    Sarız: rank 68 of 179 (distance to prediction: 203.1 km)</t>
  </si>
  <si>
    <t xml:space="preserve">    Ferzant: rank 71 of 179 (distance to prediction: 193.3 km)</t>
  </si>
  <si>
    <t xml:space="preserve">    Külhöyük (Haymana): rank 73 of 179 (distance to prediction: 151.1 km)</t>
  </si>
  <si>
    <t xml:space="preserve">    Yassıhöyük (Yozgat): rank 74 of 179 (distance to prediction: 112.9 km)</t>
  </si>
  <si>
    <t xml:space="preserve">    Bolus (Aktepe): rank 95 of 179 (distance to prediction: 221.0 km)</t>
  </si>
  <si>
    <t xml:space="preserve">    Ballıkuyumcu: rank 98 of 179 (distance to prediction: 175.2 km)</t>
  </si>
  <si>
    <t xml:space="preserve">    Büyüknefes (Bronze Age Site): rank 98 of 179 (distance to prediction: 87.4 km)</t>
  </si>
  <si>
    <t xml:space="preserve">    Boyalı: rank 101 of 179 (distance to prediction: 137.1 km)</t>
  </si>
  <si>
    <t xml:space="preserve">    Üyük: rank 109 of 179 (distance to prediction: 179.8 km)</t>
  </si>
  <si>
    <t xml:space="preserve">    Karaoğlan: rank 115 of 179 (distance to prediction: 149.1 km)</t>
  </si>
  <si>
    <t xml:space="preserve">    Çomaklı/İlmez: rank 127 of 179 (distance to prediction: 219.2 km)</t>
  </si>
  <si>
    <t xml:space="preserve">    Yalak (Boz Höyük): rank 139 of 179 (distance to prediction: 205.3 km)</t>
  </si>
  <si>
    <t xml:space="preserve">    Mercimektepe: rank 150 of 179 (distance to prediction: 219.5 km)</t>
  </si>
  <si>
    <t>--- Purushaddum: top 10 candidates (152 scored) ---</t>
  </si>
  <si>
    <t>Known site(s) inside this ellipse, ranked against all 152 candidates:</t>
  </si>
  <si>
    <t xml:space="preserve">    Suluca Karahöyük (Hacıbektaş): rank 12 of 152 (distance to prediction: 36.7 km)</t>
  </si>
  <si>
    <t xml:space="preserve">    Topaklı: rank 14 of 152 (distance to prediction: 53.9 km)</t>
  </si>
  <si>
    <t xml:space="preserve">    Zank: rank 38 of 152 (distance to prediction: 53.1 km)</t>
  </si>
  <si>
    <t xml:space="preserve">    Harmandalı: rank 54 of 152 (distance to prediction: 34.2 km)</t>
  </si>
  <si>
    <t xml:space="preserve">    Yassıhöyük (Çoğun/Kırşehir): rank 95 of 152 (distance to prediction: 23.3 km)</t>
  </si>
  <si>
    <t xml:space="preserve">    Topakhöyük: rank 96 of 152 (distance to prediction: 60.6 km)</t>
  </si>
  <si>
    <t xml:space="preserve">    Büyüknefes (Bronze Age Site): rank 149 of 152 (distance to prediction: 80.6 km)</t>
  </si>
  <si>
    <t>--- Sinahuttum: top 10 candidates (169 scored) ---</t>
  </si>
  <si>
    <t xml:space="preserve">    Doğantepe: rank 1 of 169 (distance to prediction: 40.7 km)</t>
  </si>
  <si>
    <t xml:space="preserve">    Oluz Höyük: rank 2 of 169 (distance to prediction: 34.8 km)</t>
  </si>
  <si>
    <t xml:space="preserve">    Ayvalıpınar: rank 5 of 169 (distance to prediction: 24.6 km)</t>
  </si>
  <si>
    <t xml:space="preserve">    Kayapınar Höyüğü: rank 8 of 169 (distance to prediction: 50.6 km)</t>
  </si>
  <si>
    <t xml:space="preserve">    Ferzant: rank 27 of 169 (distance to prediction: 48.0 km)</t>
  </si>
  <si>
    <t xml:space="preserve">    Bolus (Aktepe): rank 31 of 169 (distance to prediction: 74.2 km)</t>
  </si>
  <si>
    <t xml:space="preserve">    Çadır (Sorgun): rank 31 of 169 (distance to prediction: 78.3 km)</t>
  </si>
  <si>
    <t xml:space="preserve">    Uşaklı/Kuşaklı Höyük: rank 36 of 169 (distance to prediction: 70.6 km)</t>
  </si>
  <si>
    <t xml:space="preserve">    Eskiyapar: rank 37 of 169 (distance to prediction: 80.4 km)</t>
  </si>
  <si>
    <t xml:space="preserve">    Alaca Höyük: rank 48 of 169 (distance to prediction: 87.8 km)</t>
  </si>
  <si>
    <t xml:space="preserve">    Topaklı: rank 53 of 169 (distance to prediction: 155.7 km)</t>
  </si>
  <si>
    <t xml:space="preserve">    Çengeltepe: rank 63 of 169 (distance to prediction: 83.9 km)</t>
  </si>
  <si>
    <t xml:space="preserve">    Zank: rank 67 of 169 (distance to prediction: 163.2 km)</t>
  </si>
  <si>
    <t xml:space="preserve">    Kaledoruğu (Kavak): rank 74 of 169 (distance to prediction: 98.5 km)</t>
  </si>
  <si>
    <t xml:space="preserve">    Yassıhöyük (Yozgat): rank 78 of 169 (distance to prediction: 75.6 km)</t>
  </si>
  <si>
    <t xml:space="preserve">    Üyük: rank 81 of 169 (distance to prediction: 17.8 km)</t>
  </si>
  <si>
    <t xml:space="preserve">    Boğazlıyan/Yoğunhisar: rank 109 of 169 (distance to prediction: 125.3 km)</t>
  </si>
  <si>
    <t xml:space="preserve">    Dündartepe: rank 135 of 169 (distance to prediction: 126.6 km)</t>
  </si>
  <si>
    <t xml:space="preserve">    Mercimektepe: rank 137 of 169 (distance to prediction: 77.2 km)</t>
  </si>
  <si>
    <t xml:space="preserve">    Büyüknefes (Bronze Age Site): rank 138 of 169 (distance to prediction: 112.3 km)</t>
  </si>
  <si>
    <t xml:space="preserve">    Boyalı: rank 142 of 169 (distance to prediction: 124.9 km)</t>
  </si>
  <si>
    <t xml:space="preserve">    Tekkeköy (Samsun): rank unavailable (missing terrain data at this location) of 169 (distance to prediction: 126.2 km)</t>
  </si>
  <si>
    <t>--- Suppiluliya: top 10 candidates (186 scored) ---</t>
  </si>
  <si>
    <t>Known site(s) inside this ellipse, ranked against all 186 candidates:</t>
  </si>
  <si>
    <t xml:space="preserve">    Topaklı: rank 1 of 186 (distance to prediction: 60.5 km)</t>
  </si>
  <si>
    <t xml:space="preserve">    Suluca Karahöyük (Hacıbektaş): rank 2 of 186 (distance to prediction: 86.3 km)</t>
  </si>
  <si>
    <t xml:space="preserve">    Doğantepe: rank 3 of 186 (distance to prediction: 166.9 km)</t>
  </si>
  <si>
    <t xml:space="preserve">    Zank: rank 5 of 186 (distance to prediction: 65.3 km)</t>
  </si>
  <si>
    <t xml:space="preserve">    Oluz Höyük: rank 7 of 186 (distance to prediction: 161.5 km)</t>
  </si>
  <si>
    <t xml:space="preserve">    Kayapınar Höyüğü: rank 9 of 186 (distance to prediction: 134.5 km)</t>
  </si>
  <si>
    <t xml:space="preserve">    Sarız: rank 13 of 186 (distance to prediction: 111.5 km)</t>
  </si>
  <si>
    <t xml:space="preserve">    Çadır (Sorgun): rank 17 of 186 (distance to prediction: 72.2 km)</t>
  </si>
  <si>
    <t xml:space="preserve">    Boğazlıyan/Yoğunhisar: rank 18 of 186 (distance to prediction: 25.8 km)</t>
  </si>
  <si>
    <t xml:space="preserve">    Harmandalı: rank 19 of 186 (distance to prediction: 137.8 km)</t>
  </si>
  <si>
    <t xml:space="preserve">    Uşaklı/Kuşaklı Höyük: rank 23 of 186 (distance to prediction: 85.7 km)</t>
  </si>
  <si>
    <t xml:space="preserve">    Imamoğlu: rank 24 of 186 (distance to prediction: 269.3 km)</t>
  </si>
  <si>
    <t xml:space="preserve">    Değirmentepe: rank 25 of 186 (distance to prediction: 266.8 km)</t>
  </si>
  <si>
    <t xml:space="preserve">    Ayvalıpınar: rank 31 of 186 (distance to prediction: 151.6 km)</t>
  </si>
  <si>
    <t xml:space="preserve">    Topakhöyük: rank 33 of 186 (distance to prediction: 120.0 km)</t>
  </si>
  <si>
    <t xml:space="preserve">    Eskiyapar: rank 34 of 186 (distance to prediction: 134.5 km)</t>
  </si>
  <si>
    <t xml:space="preserve">    Acemhöyük: rank 35 of 186 (distance to prediction: 165.5 km)</t>
  </si>
  <si>
    <t xml:space="preserve">    Alaca Höyük: rank 38 of 186 (distance to prediction: 145.1 km)</t>
  </si>
  <si>
    <t xml:space="preserve">    Ferzant: rank 39 of 186 (distance to prediction: 167.1 km)</t>
  </si>
  <si>
    <t xml:space="preserve">    Çengeltepe: rank 40 of 186 (distance to prediction: 99.6 km)</t>
  </si>
  <si>
    <t xml:space="preserve">    Bolus (Aktepe): rank 46 of 186 (distance to prediction: 138.4 km)</t>
  </si>
  <si>
    <t xml:space="preserve">    Imikuşağı: rank 48 of 186 (distance to prediction: 266.5 km)</t>
  </si>
  <si>
    <t xml:space="preserve">    Arslantepe: rank 54 of 186 (distance to prediction: 262.4 km)</t>
  </si>
  <si>
    <t xml:space="preserve">    Yassıhöyük (Yozgat): rank 55 of 186 (distance to prediction: 113.3 km)</t>
  </si>
  <si>
    <t xml:space="preserve">    Yassıhöyük (Çoğun/Kırşehir): rank 56 of 186 (distance to prediction: 127.8 km)</t>
  </si>
  <si>
    <t xml:space="preserve">    Kaledoruğu (Kavak): rank 57 of 186 (distance to prediction: 224.9 km)</t>
  </si>
  <si>
    <t xml:space="preserve">    Üyük: rank 59 of 186 (distance to prediction: 120.4 km)</t>
  </si>
  <si>
    <t xml:space="preserve">    Yassıhöyük (Tanır): rank 66 of 186 (distance to prediction: 145.9 km)</t>
  </si>
  <si>
    <t xml:space="preserve">    Büyüknefes (Bronze Age Site): rank 72 of 186 (distance to prediction: 121.6 km)</t>
  </si>
  <si>
    <t xml:space="preserve">    Boyalı: rank 76 of 186 (distance to prediction: 173.5 km)</t>
  </si>
  <si>
    <t xml:space="preserve">    Külhöyük (Haymana): rank 78 of 186 (distance to prediction: 252.6 km)</t>
  </si>
  <si>
    <t xml:space="preserve">    Yalak (Boz Höyük): rank 79 of 186 (distance to prediction: 120.6 km)</t>
  </si>
  <si>
    <t xml:space="preserve">    Ballıkuyumcu: rank 91 of 186 (distance to prediction: 272.5 km)</t>
  </si>
  <si>
    <t xml:space="preserve">    Dündartepe: rank 96 of 186 (distance to prediction: 250.0 km)</t>
  </si>
  <si>
    <t xml:space="preserve">    Mercimektepe: rank 103 of 186 (distance to prediction: 198.4 km)</t>
  </si>
  <si>
    <t xml:space="preserve">    Karaoğlan: rank 109 of 186 (distance to prediction: 245.2 km)</t>
  </si>
  <si>
    <t xml:space="preserve">    Çomaklı/İlmez: rank 113 of 186 (distance to prediction: 305.2 km)</t>
  </si>
  <si>
    <t xml:space="preserve">    Tekkeköy (Samsun): rank unavailable (missing terrain data at this location) of 186 (distance to prediction: 247.5 km)</t>
  </si>
  <si>
    <t>--- Tuhpiya: top 10 candidates (156 scored) ---</t>
  </si>
  <si>
    <t xml:space="preserve">    Topaklı: rank 2 of 156 (distance to prediction: 25.4 km)</t>
  </si>
  <si>
    <t xml:space="preserve">    Suluca Karahöyük (Hacıbektaş): rank 12 of 156 (distance to prediction: 51.5 km)</t>
  </si>
  <si>
    <t xml:space="preserve">    Zank: rank 19 of 156 (distance to prediction: 31.1 km)</t>
  </si>
  <si>
    <t xml:space="preserve">    Boğazlıyan/Yoğunhisar: rank 39 of 156 (distance to prediction: 15.1 km)</t>
  </si>
  <si>
    <t xml:space="preserve">    Çadır (Sorgun): rank 49 of 156 (distance to prediction: 67.4 km)</t>
  </si>
  <si>
    <t xml:space="preserve">    Uşaklı/Kuşaklı Höyük: rank 79 of 156 (distance to prediction: 80.7 km)</t>
  </si>
  <si>
    <t xml:space="preserve">    Topakhöyük: rank 101 of 156 (distance to prediction: 88.3 km)</t>
  </si>
  <si>
    <t xml:space="preserve">    Çengeltepe: rank 104 of 156 (distance to prediction: 87.6 km)</t>
  </si>
  <si>
    <t xml:space="preserve">    Yassıhöyük (Çoğun/Kırşehir): rank 142 of 156 (distance to prediction: 94.2 km)</t>
  </si>
  <si>
    <t>--- Washaniya: top 10 candidates (166 scored) ---</t>
  </si>
  <si>
    <t>Known site(s) inside this ellipse, ranked against all 166 candidates:</t>
  </si>
  <si>
    <t xml:space="preserve">    Topaklı: rank 3 of 166 (distance to prediction: 16.1 km)</t>
  </si>
  <si>
    <t xml:space="preserve">    Suluca Karahöyük (Hacıbektaş): rank 4 of 166 (distance to prediction: 31.7 km)</t>
  </si>
  <si>
    <t xml:space="preserve">    Zank: rank 8 of 166 (distance to prediction: 22.2 km)</t>
  </si>
  <si>
    <t xml:space="preserve">    Çadır (Sorgun): rank 23 of 166 (distance to prediction: 66.8 km)</t>
  </si>
  <si>
    <t xml:space="preserve">    Doğantepe: rank 25 of 166 (distance to prediction: 176.4 km)</t>
  </si>
  <si>
    <t xml:space="preserve">    Harmandalı: rank 26 of 166 (distance to prediction: 76.1 km)</t>
  </si>
  <si>
    <t xml:space="preserve">    Uşaklı/Kuşaklı Höyük: rank 36 of 166 (distance to prediction: 77.5 km)</t>
  </si>
  <si>
    <t xml:space="preserve">    Boğazlıyan/Yoğunhisar: rank 37 of 166 (distance to prediction: 39.5 km)</t>
  </si>
  <si>
    <t xml:space="preserve">    Oluz Höyük: rank 38 of 166 (distance to prediction: 172.5 km)</t>
  </si>
  <si>
    <t xml:space="preserve">    Topakhöyük: rank 50 of 166 (distance to prediction: 73.8 km)</t>
  </si>
  <si>
    <t xml:space="preserve">    Eskiyapar: rank 51 of 166 (distance to prediction: 112.3 km)</t>
  </si>
  <si>
    <t xml:space="preserve">    Çengeltepe: rank 52 of 166 (distance to prediction: 77.1 km)</t>
  </si>
  <si>
    <t xml:space="preserve">    Acemhöyük: rank 62 of 166 (distance to prediction: 116.6 km)</t>
  </si>
  <si>
    <t xml:space="preserve">    Alaca Höyük: rank 65 of 166 (distance to prediction: 120.4 km)</t>
  </si>
  <si>
    <t xml:space="preserve">    Ayvalıpınar: rank 73 of 166 (distance to prediction: 164.3 km)</t>
  </si>
  <si>
    <t xml:space="preserve">    Yassıhöyük (Çoğun/Kırşehir): rank 81 of 166 (distance to prediction: 64.3 km)</t>
  </si>
  <si>
    <t xml:space="preserve">    Yassıhöyük (Yozgat): rank 90 of 166 (distance to prediction: 93.8 km)</t>
  </si>
  <si>
    <t xml:space="preserve">    Ferzant: rank 99 of 166 (distance to prediction: 169.5 km)</t>
  </si>
  <si>
    <t xml:space="preserve">    Büyüknefes (Bronze Age Site): rank 108 of 166 (distance to prediction: 81.6 km)</t>
  </si>
  <si>
    <t xml:space="preserve">    Boyalı: rank 129 of 166 (distance to prediction: 136.8 km)</t>
  </si>
  <si>
    <t xml:space="preserve">    Üyük: rank 132 of 166 (distance to prediction: 145.4 km)</t>
  </si>
  <si>
    <t>--- Zalpa: top 10 candidates (154 scored) ---</t>
  </si>
  <si>
    <t xml:space="preserve">    Topaklı: rank 3 of 154 (distance to prediction: 37.1 km)</t>
  </si>
  <si>
    <t xml:space="preserve">    Zank: rank 15 of 154 (distance to prediction: 44.5 km)</t>
  </si>
  <si>
    <t xml:space="preserve">    Suluca Karahöyük (Hacıbektaş): rank 19 of 154 (distance to prediction: 60.6 km)</t>
  </si>
  <si>
    <t xml:space="preserve">    Çadır (Sorgun): rank 30 of 154 (distance to prediction: 45.0 km)</t>
  </si>
  <si>
    <t xml:space="preserve">    Boğazlıyan/Yoğunhisar: rank 48 of 154 (distance to prediction: 17.7 km)</t>
  </si>
  <si>
    <t xml:space="preserve">    Uşaklı/Kuşaklı Höyük: rank 55 of 154 (distance to prediction: 58.0 km)</t>
  </si>
  <si>
    <t xml:space="preserve">    Çengeltepe: rank 76 of 154 (distance to prediction: 65.2 km)</t>
  </si>
  <si>
    <t xml:space="preserve">    Yassıhöyük (Yozgat): rank 127 of 154 (distance to prediction: 81.1 km)</t>
  </si>
  <si>
    <t xml:space="preserve">    Büyüknefes (Bronze Age Site): rank 147 of 154 (distance to prediction: 81.5 km)</t>
  </si>
  <si>
    <t>Mean paired diff (this method − Barjamovic)</t>
  </si>
  <si>
    <t>Direction</t>
  </si>
  <si>
    <t>−22.47 km</t>
  </si>
  <si>
    <t>0.165 (not significant)</t>
  </si>
  <si>
    <t>+14.69 km</t>
  </si>
  <si>
    <t>MDS Dyadic</t>
  </si>
  <si>
    <t>+5.23 km</t>
  </si>
  <si>
    <t>MDS TII</t>
  </si>
  <si>
    <t>+12.73 km</t>
  </si>
  <si>
    <t>p-value &lt; 0.05?</t>
  </si>
  <si>
    <t>Lat</t>
  </si>
  <si>
    <t>SE Lat</t>
  </si>
  <si>
    <t>Long</t>
  </si>
  <si>
    <t>SE Long</t>
  </si>
  <si>
    <t>Barjamovic Prediction With SE</t>
  </si>
  <si>
    <t>AVERAGE</t>
  </si>
  <si>
    <t>Dist_to_Barjamovic
2011</t>
  </si>
  <si>
    <t>Dist_to_Forlanini
2008</t>
  </si>
  <si>
    <t>GCN Constrained Dyadic Bootstrapping</t>
  </si>
  <si>
    <t>Avg Distance to Barjamovic et al. (gravity model): 95.08 km</t>
  </si>
  <si>
    <t>Avg Distance to Barjamovic 2011 (historian): 129.08 km</t>
  </si>
  <si>
    <t>Avg Distance to Forlanini 2008 (historian): 123.64 km</t>
  </si>
  <si>
    <t>--- Durhumit: top 10 candidates (460 scored) ---</t>
  </si>
  <si>
    <t>Known site(s) inside this ellipse, ranked against all 460 candidates:</t>
  </si>
  <si>
    <t xml:space="preserve">    Alaca Höyük: rank 31 of 460 (distance to prediction: 48.7 km)</t>
  </si>
  <si>
    <t xml:space="preserve">    Eskiyapar: rank 39 of 460 (distance to prediction: 49.9 km)</t>
  </si>
  <si>
    <t xml:space="preserve">    Uşaklı/Kuşaklı Höyük: rank 78 of 460 (distance to prediction: 72.0 km)</t>
  </si>
  <si>
    <t xml:space="preserve">    Çengeltepe: rank 95 of 460 (distance to prediction: 51.4 km)</t>
  </si>
  <si>
    <t xml:space="preserve">    Çadır (Sorgun): rank 95 of 460 (distance to prediction: 78.9 km)</t>
  </si>
  <si>
    <t xml:space="preserve">    Yassıhöyük (Yozgat): rank 201 of 460 (distance to prediction: 52.2 km)</t>
  </si>
  <si>
    <t xml:space="preserve">    Boyalı: rank 279 of 460 (distance to prediction: 43.8 km)</t>
  </si>
  <si>
    <t xml:space="preserve">    Büyüknefes (Bronze Age Site): rank 302 of 460 (distance to prediction: 19.7 km)</t>
  </si>
  <si>
    <t xml:space="preserve">    Yassıhöyük (Çoğun/Kırşehir): rank 313 of 460 (distance to prediction: 68.8 km)</t>
  </si>
  <si>
    <t xml:space="preserve">    Üyük: rank 429 of 460 (distance to prediction: 139.0 km)</t>
  </si>
  <si>
    <t xml:space="preserve">    Karaoğlan: rank 446 of 460 (distance to prediction: 129.8 km)</t>
  </si>
  <si>
    <t>--- Hahhum: top 10 candidates (438 scored) ---</t>
  </si>
  <si>
    <t>Known site(s) inside this ellipse, ranked against all 438 candidates:</t>
  </si>
  <si>
    <t xml:space="preserve">    Sarız: rank 62 of 438 (distance to prediction: 18.6 km)</t>
  </si>
  <si>
    <t>--- Kuburnat: top 10 candidates (438 scored) ---</t>
  </si>
  <si>
    <t xml:space="preserve">    Boğazlıyan/Yoğunhisar: rank 152 of 438 (distance to prediction: 184.3 km)</t>
  </si>
  <si>
    <t>--- Ninassa: top 10 candidates (450 scored) ---</t>
  </si>
  <si>
    <t>Known site(s) inside this ellipse, ranked against all 450 candidates:</t>
  </si>
  <si>
    <t xml:space="preserve">    Suluca Karahöyük (Hacıbektaş): rank 32 of 450 (distance to prediction: 84.6 km)</t>
  </si>
  <si>
    <t xml:space="preserve">    Topaklı: rank 36 of 450 (distance to prediction: 98.6 km)</t>
  </si>
  <si>
    <t xml:space="preserve">    Harmandalı: rank 72 of 450 (distance to prediction: 58.1 km)</t>
  </si>
  <si>
    <t xml:space="preserve">    Zank: rank 96 of 450 (distance to prediction: 99.3 km)</t>
  </si>
  <si>
    <t xml:space="preserve">    Yassıhöyük (Çoğun/Kırşehir): rank 207 of 450 (distance to prediction: 24.9 km)</t>
  </si>
  <si>
    <t xml:space="preserve">    Çadır (Sorgun): rank 207 of 450 (distance to prediction: 114.0 km)</t>
  </si>
  <si>
    <t xml:space="preserve">    Uşaklı/Kuşaklı Höyük: rank 231 of 450 (distance to prediction: 114.2 km)</t>
  </si>
  <si>
    <t xml:space="preserve">    Çengeltepe: rank 243 of 450 (distance to prediction: 97.1 km)</t>
  </si>
  <si>
    <t xml:space="preserve">    Topakhöyük: rank 256 of 450 (distance to prediction: 102.3 km)</t>
  </si>
  <si>
    <t xml:space="preserve">    Acemhöyük: rank 266 of 450 (distance to prediction: 117.5 km)</t>
  </si>
  <si>
    <t xml:space="preserve">    Külhöyük (Haymana): rank 334 of 450 (distance to prediction: 105.0 km)</t>
  </si>
  <si>
    <t xml:space="preserve">    Boğazlıyan/Yoğunhisar: rank 345 of 450 (distance to prediction: 124.0 km)</t>
  </si>
  <si>
    <t xml:space="preserve">    Yassıhöyük (Yozgat): rank 365 of 450 (distance to prediction: 106.0 km)</t>
  </si>
  <si>
    <t xml:space="preserve">    Büyüknefes (Bronze Age Site): rank 373 of 450 (distance to prediction: 69.8 km)</t>
  </si>
  <si>
    <t xml:space="preserve">    Boyalı: rank 385 of 450 (distance to prediction: 99.6 km)</t>
  </si>
  <si>
    <t xml:space="preserve">    Ballıkuyumcu: rank 390 of 450 (distance to prediction: 122.8 km)</t>
  </si>
  <si>
    <t xml:space="preserve">    Karaoğlan: rank 405 of 450 (distance to prediction: 95.5 km)</t>
  </si>
  <si>
    <t>--- Purushaddum: top 10 candidates (382 scored) ---</t>
  </si>
  <si>
    <t>Known site(s) inside this ellipse, ranked against all 382 candidates:</t>
  </si>
  <si>
    <t xml:space="preserve">    Harmandalı: rank 146 of 382 (distance to prediction: 44.1 km)</t>
  </si>
  <si>
    <t xml:space="preserve">    Külhöyük (Haymana): rank 319 of 382 (distance to prediction: 82.8 km)</t>
  </si>
  <si>
    <t xml:space="preserve">    Yassıhöyük (Çoğun/Kırşehir): rank 343 of 382 (distance to prediction: 52.1 km)</t>
  </si>
  <si>
    <t>--- Sinahuttum: top 10 candidates (453 scored) ---</t>
  </si>
  <si>
    <t>Known site(s) inside this ellipse, ranked against all 453 candidates:</t>
  </si>
  <si>
    <t xml:space="preserve">    Doğantepe: rank 5 of 453 (distance to prediction: 17.1 km)</t>
  </si>
  <si>
    <t xml:space="preserve">    Oluz Höyük: rank 6 of 453 (distance to prediction: 15.1 km)</t>
  </si>
  <si>
    <t xml:space="preserve">    Ayvalıpınar: rank 20 of 453 (distance to prediction: 14.4 km)</t>
  </si>
  <si>
    <t xml:space="preserve">    Ferzant: rank 62 of 453 (distance to prediction: 16.8 km)</t>
  </si>
  <si>
    <t xml:space="preserve">    Kayapınar Höyüğü: rank 142 of 453 (distance to prediction: 75.5 km)</t>
  </si>
  <si>
    <t xml:space="preserve">    Eskiyapar: rank 192 of 453 (distance to prediction: 71.9 km)</t>
  </si>
  <si>
    <t xml:space="preserve">    Alaca Höyük: rank 235 of 453 (distance to prediction: 75.8 km)</t>
  </si>
  <si>
    <t xml:space="preserve">    Uşaklı/Kuşaklı Höyük: rank 298 of 453 (distance to prediction: 82.3 km)</t>
  </si>
  <si>
    <t xml:space="preserve">    Üyük: rank 365 of 453 (distance to prediction: 48.1 km)</t>
  </si>
  <si>
    <t xml:space="preserve">    Yassıhöyük (Yozgat): rank 368 of 453 (distance to prediction: 75.7 km)</t>
  </si>
  <si>
    <t xml:space="preserve">    Kaledoruğu (Kavak): rank 404 of 453 (distance to prediction: 82.9 km)</t>
  </si>
  <si>
    <t xml:space="preserve">    Mercimektepe: rank 434 of 453 (distance to prediction: 46.8 km)</t>
  </si>
  <si>
    <t>--- Suppiluliya: top 10 candidates (476 scored) ---</t>
  </si>
  <si>
    <t>Known site(s) inside this ellipse, ranked against all 476 candidates:</t>
  </si>
  <si>
    <t xml:space="preserve">    Doğantepe: rank 3 of 476 (distance to prediction: 107.7 km)</t>
  </si>
  <si>
    <t xml:space="preserve">    Oluz Höyük: rank 6 of 476 (distance to prediction: 106.0 km)</t>
  </si>
  <si>
    <t xml:space="preserve">    Topaklı: rank 17 of 476 (distance to prediction: 104.2 km)</t>
  </si>
  <si>
    <t xml:space="preserve">    Suluca Karahöyük (Hacıbektaş): rank 29 of 476 (distance to prediction: 113.2 km)</t>
  </si>
  <si>
    <t xml:space="preserve">    Eskiyapar: rank 32 of 476 (distance to prediction: 25.0 km)</t>
  </si>
  <si>
    <t xml:space="preserve">    Çadır (Sorgun): rank 40 of 476 (distance to prediction: 48.5 km)</t>
  </si>
  <si>
    <t xml:space="preserve">    Alaca Höyük: rank 46 of 476 (distance to prediction: 32.0 km)</t>
  </si>
  <si>
    <t xml:space="preserve">    Uşaklı/Kuşaklı Höyük: rank 53 of 476 (distance to prediction: 38.6 km)</t>
  </si>
  <si>
    <t xml:space="preserve">    Ayvalıpınar: rank 62 of 476 (distance to prediction: 101.4 km)</t>
  </si>
  <si>
    <t xml:space="preserve">    Zank: rank 63 of 476 (distance to prediction: 110.6 km)</t>
  </si>
  <si>
    <t xml:space="preserve">    Çengeltepe: rank 75 of 476 (distance to prediction: 18.9 km)</t>
  </si>
  <si>
    <t xml:space="preserve">    Kayapınar Höyüğü: rank 96 of 476 (distance to prediction: 138.2 km)</t>
  </si>
  <si>
    <t xml:space="preserve">    Ferzant: rank 126 of 476 (distance to prediction: 94.4 km)</t>
  </si>
  <si>
    <t xml:space="preserve">    Yassıhöyük (Yozgat): rank 152 of 476 (distance to prediction: 16.8 km)</t>
  </si>
  <si>
    <t xml:space="preserve">    Harmandalı: rank 163 of 476 (distance to prediction: 128.3 km)</t>
  </si>
  <si>
    <t xml:space="preserve">    Boğazlıyan/Yoğunhisar: rank 178 of 476 (distance to prediction: 97.7 km)</t>
  </si>
  <si>
    <t xml:space="preserve">    Büyüknefes (Bronze Age Site): rank 248 of 476 (distance to prediction: 20.2 km)</t>
  </si>
  <si>
    <t xml:space="preserve">    Boyalı: rank 254 of 476 (distance to prediction: 56.1 km)</t>
  </si>
  <si>
    <t xml:space="preserve">    Yassıhöyük (Çoğun/Kırşehir): rank 260 of 476 (distance to prediction: 87.9 km)</t>
  </si>
  <si>
    <t xml:space="preserve">    Bolus (Aktepe): rank 262 of 476 (distance to prediction: 158.6 km)</t>
  </si>
  <si>
    <t xml:space="preserve">    Topakhöyük: rank 278 of 476 (distance to prediction: 152.3 km)</t>
  </si>
  <si>
    <t xml:space="preserve">    Kaledoruğu (Kavak): rank 308 of 476 (distance to prediction: 172.7 km)</t>
  </si>
  <si>
    <t xml:space="preserve">    Üyük: rank 312 of 476 (distance to prediction: 103.6 km)</t>
  </si>
  <si>
    <t xml:space="preserve">    Külhöyük (Haymana): rank 348 of 476 (distance to prediction: 185.1 km)</t>
  </si>
  <si>
    <t xml:space="preserve">    Ballıkuyumcu: rank 395 of 476 (distance to prediction: 191.9 km)</t>
  </si>
  <si>
    <t xml:space="preserve">    Mercimektepe: rank 402 of 476 (distance to prediction: 118.4 km)</t>
  </si>
  <si>
    <t xml:space="preserve">    Karaoğlan: rank 424 of 476 (distance to prediction: 165.5 km)</t>
  </si>
  <si>
    <t>--- Tuhpiya: top 10 candidates (451 scored) ---</t>
  </si>
  <si>
    <t>Known site(s) inside this ellipse, ranked against all 451 candidates:</t>
  </si>
  <si>
    <t xml:space="preserve">    Topaklı: rank 19 of 451 (distance to prediction: 62.6 km)</t>
  </si>
  <si>
    <t xml:space="preserve">    Suluca Karahöyük (Hacıbektaş): rank 40 of 451 (distance to prediction: 88.7 km)</t>
  </si>
  <si>
    <t xml:space="preserve">    Zank: rank 77 of 451 (distance to prediction: 68.4 km)</t>
  </si>
  <si>
    <t xml:space="preserve">    Boğazlıyan/Yoğunhisar: rank 94 of 451 (distance to prediction: 23.9 km)</t>
  </si>
  <si>
    <t xml:space="preserve">    Harmandalı: rank 215 of 451 (distance to prediction: 138.7 km)</t>
  </si>
  <si>
    <t xml:space="preserve">    Yassıhöyük (Çoğun/Kırşehir): rank 392 of 451 (distance to prediction: 124.9 km)</t>
  </si>
  <si>
    <t>--- Washaniya: top 10 candidates (409 scored) ---</t>
  </si>
  <si>
    <t>Known site(s) inside this ellipse, ranked against all 409 candidates:</t>
  </si>
  <si>
    <t xml:space="preserve">    Suluca Karahöyük (Hacıbektaş): rank 18 of 409 (distance to prediction: 60.8 km)</t>
  </si>
  <si>
    <t xml:space="preserve">    Topaklı: rank 34 of 409 (distance to prediction: 73.7 km)</t>
  </si>
  <si>
    <t xml:space="preserve">    Harmandalı: rank 76 of 409 (distance to prediction: 47.0 km)</t>
  </si>
  <si>
    <t xml:space="preserve">    Zank: rank 80 of 409 (distance to prediction: 74.5 km)</t>
  </si>
  <si>
    <t xml:space="preserve">    Yassıhöyük (Çoğun/Kırşehir): rank 199 of 409 (distance to prediction: 4.7 km)</t>
  </si>
  <si>
    <t xml:space="preserve">    Topakhöyük: rank 226 of 409 (distance to prediction: 84.1 km)</t>
  </si>
  <si>
    <t xml:space="preserve">    Boğazlıyan/Yoğunhisar: rank 282 of 409 (distance to prediction: 100.2 km)</t>
  </si>
  <si>
    <t xml:space="preserve">    Büyüknefes (Bronze Age Site): rank 338 of 409 (distance to prediction: 64.8 km)</t>
  </si>
  <si>
    <t>--- Zalpa: top 10 candidates (433 scored)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</si>
</sst>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0" borderId="7" xfId="0" applyFont="1" applyBorder="1"/>
    <xf numFmtId="0" fontId="3" fillId="0" borderId="8" xfId="0" applyFont="1" applyBorder="1"/>
    <xf numFmtId="0" fontId="3" fillId="0" borderId="13" xfId="0" applyFont="1" applyBorder="1"/>
    <xf numFmtId="0" fontId="3" fillId="0" borderId="9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3" fillId="0" borderId="30" xfId="0" applyFont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" fillId="0" borderId="18" xfId="0" applyFont="1" applyBorder="1"/>
    <xf numFmtId="0" fontId="1" fillId="0" borderId="19" xfId="0" applyFont="1" applyBorder="1"/>
    <xf numFmtId="0" fontId="1" fillId="0" borderId="34" xfId="0" applyFont="1" applyBorder="1"/>
    <xf numFmtId="0" fontId="1" fillId="0" borderId="21" xfId="0" applyFont="1" applyBorder="1"/>
    <xf numFmtId="0" fontId="1" fillId="0" borderId="25" xfId="0" applyFont="1" applyBorder="1"/>
    <xf numFmtId="2" fontId="0" fillId="0" borderId="21" xfId="0" applyNumberFormat="1" applyBorder="1"/>
    <xf numFmtId="2" fontId="0" fillId="0" borderId="23" xfId="0" applyNumberFormat="1" applyBorder="1"/>
    <xf numFmtId="2" fontId="0" fillId="0" borderId="25" xfId="0" applyNumberFormat="1" applyBorder="1"/>
    <xf numFmtId="2" fontId="0" fillId="0" borderId="27" xfId="0" applyNumberFormat="1" applyBorder="1"/>
    <xf numFmtId="2" fontId="0" fillId="0" borderId="0" xfId="0" applyNumberFormat="1"/>
    <xf numFmtId="20" fontId="0" fillId="0" borderId="0" xfId="0" applyNumberFormat="1"/>
    <xf numFmtId="0" fontId="3" fillId="0" borderId="29" xfId="0" applyFont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65" fontId="0" fillId="0" borderId="0" xfId="0" applyNumberFormat="1"/>
    <xf numFmtId="0" fontId="3" fillId="0" borderId="10" xfId="0" applyFont="1" applyBorder="1"/>
    <xf numFmtId="0" fontId="3" fillId="0" borderId="41" xfId="0" applyFont="1" applyBorder="1"/>
    <xf numFmtId="0" fontId="3" fillId="0" borderId="12" xfId="0" applyFont="1" applyBorder="1"/>
    <xf numFmtId="0" fontId="3" fillId="0" borderId="42" xfId="0" applyFont="1" applyBorder="1"/>
    <xf numFmtId="0" fontId="0" fillId="0" borderId="34" xfId="0" applyBorder="1"/>
    <xf numFmtId="2" fontId="0" fillId="0" borderId="18" xfId="0" applyNumberFormat="1" applyBorder="1"/>
    <xf numFmtId="2" fontId="0" fillId="0" borderId="34" xfId="0" applyNumberFormat="1" applyBorder="1"/>
    <xf numFmtId="0" fontId="3" fillId="0" borderId="36" xfId="0" applyFont="1" applyBorder="1"/>
    <xf numFmtId="164" fontId="0" fillId="0" borderId="21" xfId="0" applyNumberFormat="1" applyBorder="1"/>
    <xf numFmtId="164" fontId="0" fillId="0" borderId="22" xfId="0" applyNumberFormat="1" applyBorder="1"/>
    <xf numFmtId="0" fontId="3" fillId="0" borderId="37" xfId="0" applyFont="1" applyBorder="1"/>
    <xf numFmtId="0" fontId="3" fillId="0" borderId="0" xfId="0" applyFont="1"/>
    <xf numFmtId="164" fontId="0" fillId="0" borderId="23" xfId="0" applyNumberFormat="1" applyBorder="1"/>
    <xf numFmtId="164" fontId="0" fillId="0" borderId="43" xfId="0" applyNumberFormat="1" applyBorder="1"/>
    <xf numFmtId="164" fontId="0" fillId="0" borderId="44" xfId="0" applyNumberFormat="1" applyBorder="1"/>
    <xf numFmtId="0" fontId="0" fillId="0" borderId="44" xfId="0" applyBorder="1"/>
    <xf numFmtId="164" fontId="0" fillId="0" borderId="45" xfId="0" applyNumberFormat="1" applyBorder="1"/>
    <xf numFmtId="0" fontId="1" fillId="0" borderId="14" xfId="0" applyFont="1" applyBorder="1"/>
    <xf numFmtId="0" fontId="1" fillId="0" borderId="15" xfId="0" applyFont="1" applyBorder="1"/>
    <xf numFmtId="0" fontId="0" fillId="2" borderId="0" xfId="0" applyFill="1"/>
    <xf numFmtId="0" fontId="0" fillId="0" borderId="0" xfId="0" applyAlignment="1">
      <alignment horizontal="center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0" fillId="0" borderId="43" xfId="0" applyBorder="1"/>
    <xf numFmtId="0" fontId="0" fillId="0" borderId="46" xfId="0" applyBorder="1"/>
    <xf numFmtId="0" fontId="3" fillId="2" borderId="0" xfId="0" applyFont="1" applyFill="1"/>
    <xf numFmtId="0" fontId="0" fillId="0" borderId="7" xfId="0" applyBorder="1"/>
    <xf numFmtId="0" fontId="0" fillId="0" borderId="8" xfId="0" applyBorder="1"/>
    <xf numFmtId="0" fontId="0" fillId="0" borderId="13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G104"/>
  <sheetViews>
    <sheetView topLeftCell="A49" zoomScale="70" zoomScaleNormal="70" workbookViewId="0">
      <selection activeCell="M63" sqref="M63"/>
    </sheetView>
  </sheetViews>
  <sheetFormatPr defaultRowHeight="14.4" x14ac:dyDescent="0.3"/>
  <cols>
    <col min="3" max="3" width="10.33203125" bestFit="1" customWidth="1"/>
    <col min="4" max="4" width="13.109375" bestFit="1" customWidth="1"/>
    <col min="5" max="5" width="10.44140625" bestFit="1" customWidth="1"/>
    <col min="6" max="6" width="17.5546875" bestFit="1" customWidth="1"/>
    <col min="13" max="13" width="11.77734375" bestFit="1" customWidth="1"/>
    <col min="14" max="14" width="17.77734375" bestFit="1" customWidth="1"/>
    <col min="15" max="15" width="15.77734375" bestFit="1" customWidth="1"/>
    <col min="16" max="16" width="8.109375" bestFit="1" customWidth="1"/>
    <col min="18" max="18" width="11.77734375" bestFit="1" customWidth="1"/>
    <col min="19" max="19" width="10.5546875" bestFit="1" customWidth="1"/>
    <col min="20" max="20" width="14.21875" bestFit="1" customWidth="1"/>
    <col min="21" max="21" width="10.6640625" bestFit="1" customWidth="1"/>
    <col min="22" max="22" width="9.6640625" bestFit="1" customWidth="1"/>
    <col min="23" max="23" width="10" bestFit="1" customWidth="1"/>
    <col min="24" max="24" width="10.21875" bestFit="1" customWidth="1"/>
    <col min="25" max="25" width="11.88671875" bestFit="1" customWidth="1"/>
    <col min="26" max="26" width="8.77734375" bestFit="1" customWidth="1"/>
    <col min="27" max="27" width="9.6640625" bestFit="1" customWidth="1"/>
    <col min="28" max="28" width="10" bestFit="1" customWidth="1"/>
    <col min="31" max="31" width="39.109375" bestFit="1" customWidth="1"/>
    <col min="32" max="32" width="9.44140625" bestFit="1" customWidth="1"/>
    <col min="33" max="33" width="19.44140625" bestFit="1" customWidth="1"/>
  </cols>
  <sheetData>
    <row r="1" spans="3:33" ht="24" thickBot="1" x14ac:dyDescent="0.5">
      <c r="F1" s="83" t="s">
        <v>86</v>
      </c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5"/>
    </row>
    <row r="2" spans="3:33" ht="16.2" thickBot="1" x14ac:dyDescent="0.35">
      <c r="F2" s="92" t="s">
        <v>18</v>
      </c>
      <c r="G2" s="93"/>
      <c r="H2" s="94"/>
      <c r="I2" s="89" t="s">
        <v>285</v>
      </c>
      <c r="J2" s="90"/>
      <c r="K2" s="90"/>
      <c r="L2" s="90"/>
      <c r="M2" s="91"/>
      <c r="N2" s="74" t="s">
        <v>19</v>
      </c>
      <c r="O2" s="75"/>
      <c r="P2" s="75"/>
      <c r="Q2" s="75"/>
      <c r="R2" s="75"/>
      <c r="S2" s="95" t="s">
        <v>20</v>
      </c>
      <c r="T2" s="96"/>
      <c r="U2" s="96"/>
      <c r="V2" s="96"/>
      <c r="W2" s="97"/>
      <c r="X2" s="98" t="s">
        <v>21</v>
      </c>
      <c r="Y2" s="99"/>
      <c r="Z2" s="99"/>
      <c r="AA2" s="99"/>
      <c r="AB2" s="100"/>
    </row>
    <row r="3" spans="3:33" ht="16.2" thickBot="1" x14ac:dyDescent="0.35">
      <c r="C3" s="24" t="s">
        <v>0</v>
      </c>
      <c r="D3" s="25" t="s">
        <v>16</v>
      </c>
      <c r="E3" s="26" t="s">
        <v>17</v>
      </c>
      <c r="F3" s="1" t="s">
        <v>22</v>
      </c>
      <c r="G3" s="2" t="s">
        <v>23</v>
      </c>
      <c r="H3" s="3" t="s">
        <v>24</v>
      </c>
      <c r="I3" s="1" t="s">
        <v>26</v>
      </c>
      <c r="J3" s="2" t="s">
        <v>25</v>
      </c>
      <c r="K3" s="2" t="s">
        <v>28</v>
      </c>
      <c r="L3" s="2" t="s">
        <v>27</v>
      </c>
      <c r="M3" s="3" t="s">
        <v>29</v>
      </c>
      <c r="N3" s="1" t="s">
        <v>26</v>
      </c>
      <c r="O3" s="2" t="s">
        <v>25</v>
      </c>
      <c r="P3" s="2" t="s">
        <v>28</v>
      </c>
      <c r="Q3" s="2" t="s">
        <v>27</v>
      </c>
      <c r="R3" s="4" t="s">
        <v>29</v>
      </c>
      <c r="S3" s="1" t="s">
        <v>26</v>
      </c>
      <c r="T3" s="2" t="s">
        <v>25</v>
      </c>
      <c r="U3" s="2" t="s">
        <v>28</v>
      </c>
      <c r="V3" s="2" t="s">
        <v>27</v>
      </c>
      <c r="W3" s="4" t="s">
        <v>29</v>
      </c>
      <c r="X3" s="1" t="s">
        <v>26</v>
      </c>
      <c r="Y3" s="2" t="s">
        <v>25</v>
      </c>
      <c r="Z3" s="2" t="s">
        <v>28</v>
      </c>
      <c r="AA3" s="2" t="s">
        <v>27</v>
      </c>
      <c r="AB3" s="3" t="s">
        <v>29</v>
      </c>
    </row>
    <row r="4" spans="3:33" x14ac:dyDescent="0.3">
      <c r="C4" s="27" t="s">
        <v>5</v>
      </c>
      <c r="D4" s="13">
        <v>40</v>
      </c>
      <c r="E4" s="14">
        <v>35.817</v>
      </c>
      <c r="F4" s="5">
        <v>40.15</v>
      </c>
      <c r="G4" s="6">
        <v>35.761000000000003</v>
      </c>
      <c r="H4" s="7">
        <v>17.37</v>
      </c>
      <c r="I4" s="5">
        <v>39.780997999999997</v>
      </c>
      <c r="J4" s="6">
        <v>36.457999999999998</v>
      </c>
      <c r="K4" s="6">
        <v>0.67700000000000005</v>
      </c>
      <c r="L4" s="6">
        <v>1.391</v>
      </c>
      <c r="M4" s="7">
        <v>61.189</v>
      </c>
      <c r="N4" s="5">
        <v>40.048999999999999</v>
      </c>
      <c r="O4" s="6">
        <v>36.351002000000001</v>
      </c>
      <c r="P4" s="6">
        <v>0.72099999999999997</v>
      </c>
      <c r="Q4" s="6">
        <v>1.238</v>
      </c>
      <c r="R4" s="8">
        <v>47.161999999999999</v>
      </c>
      <c r="S4" s="9">
        <v>39.609000000000002</v>
      </c>
      <c r="T4" s="10">
        <v>36.088999999999999</v>
      </c>
      <c r="U4" s="10">
        <v>1.2889999999999999</v>
      </c>
      <c r="V4" s="10">
        <v>1.3779999999999999</v>
      </c>
      <c r="W4" s="11">
        <v>49.56</v>
      </c>
      <c r="X4" s="5">
        <v>39.71</v>
      </c>
      <c r="Y4" s="6">
        <v>35.975000000000001</v>
      </c>
      <c r="Z4" s="6">
        <v>1.2829999999999999</v>
      </c>
      <c r="AA4" s="6">
        <v>1.3520000000000001</v>
      </c>
      <c r="AB4" s="7">
        <v>35.113999999999997</v>
      </c>
      <c r="AE4" t="s">
        <v>267</v>
      </c>
      <c r="AF4" t="s">
        <v>268</v>
      </c>
      <c r="AG4" t="s">
        <v>276</v>
      </c>
    </row>
    <row r="5" spans="3:33" x14ac:dyDescent="0.3">
      <c r="C5" s="27" t="s">
        <v>1</v>
      </c>
      <c r="D5" s="13">
        <v>40.021000000000001</v>
      </c>
      <c r="E5" s="14">
        <v>34.61</v>
      </c>
      <c r="F5" s="12">
        <v>39.997</v>
      </c>
      <c r="G5" s="13">
        <v>36.131</v>
      </c>
      <c r="H5" s="14">
        <v>133.38</v>
      </c>
      <c r="I5" s="12">
        <v>39.255001</v>
      </c>
      <c r="J5" s="13">
        <v>35.561000999999997</v>
      </c>
      <c r="K5" s="13">
        <v>0.47499999999999998</v>
      </c>
      <c r="L5" s="13">
        <v>0.78600000000000003</v>
      </c>
      <c r="M5" s="14">
        <v>119.09</v>
      </c>
      <c r="N5" s="12">
        <v>39.091999000000001</v>
      </c>
      <c r="O5" s="13">
        <v>35.686000999999997</v>
      </c>
      <c r="P5" s="13">
        <v>0.66900000000000004</v>
      </c>
      <c r="Q5" s="13">
        <v>1.1060000000000001</v>
      </c>
      <c r="R5" s="15">
        <v>139.833</v>
      </c>
      <c r="S5" s="12">
        <v>38.898000000000003</v>
      </c>
      <c r="T5" s="13">
        <v>36.101999999999997</v>
      </c>
      <c r="U5" s="13">
        <v>1.198</v>
      </c>
      <c r="V5" s="13">
        <v>1.4330000000000001</v>
      </c>
      <c r="W5" s="15">
        <v>180.744</v>
      </c>
      <c r="X5" s="12">
        <v>39.015000000000001</v>
      </c>
      <c r="Y5" s="13">
        <v>36.082000000000001</v>
      </c>
      <c r="Z5" s="13">
        <v>1.2010000000000001</v>
      </c>
      <c r="AA5" s="13">
        <v>1.421</v>
      </c>
      <c r="AB5" s="14">
        <v>170.79</v>
      </c>
      <c r="AE5" t="s">
        <v>31</v>
      </c>
      <c r="AF5" t="s">
        <v>269</v>
      </c>
      <c r="AG5" t="s">
        <v>270</v>
      </c>
    </row>
    <row r="6" spans="3:33" x14ac:dyDescent="0.3">
      <c r="C6" s="27" t="s">
        <v>6</v>
      </c>
      <c r="D6" s="13">
        <v>38.261000000000003</v>
      </c>
      <c r="E6" s="14">
        <v>37.113999999999997</v>
      </c>
      <c r="F6" s="12">
        <v>39.139000000000003</v>
      </c>
      <c r="G6" s="13">
        <v>38.225999999999999</v>
      </c>
      <c r="H6" s="14">
        <v>137.91999999999999</v>
      </c>
      <c r="I6" s="12">
        <v>38.558998000000003</v>
      </c>
      <c r="J6" s="13">
        <v>37.403998999999999</v>
      </c>
      <c r="K6" s="13">
        <v>0.29399999999999998</v>
      </c>
      <c r="L6" s="13">
        <v>0.70499999999999996</v>
      </c>
      <c r="M6" s="14">
        <v>41.776000000000003</v>
      </c>
      <c r="N6" s="12">
        <v>39.097999999999999</v>
      </c>
      <c r="O6" s="13">
        <v>36.862999000000002</v>
      </c>
      <c r="P6" s="13">
        <v>0.47599999999999998</v>
      </c>
      <c r="Q6" s="13">
        <v>1.173</v>
      </c>
      <c r="R6" s="15">
        <v>95.507999999999996</v>
      </c>
      <c r="S6" s="12">
        <v>39.283999999999999</v>
      </c>
      <c r="T6" s="13">
        <v>36.219000000000001</v>
      </c>
      <c r="U6" s="13">
        <v>0.63400000000000001</v>
      </c>
      <c r="V6" s="13">
        <v>0.59299999999999997</v>
      </c>
      <c r="W6" s="15">
        <v>138.084</v>
      </c>
      <c r="X6" s="12">
        <v>39.351999999999997</v>
      </c>
      <c r="Y6" s="13">
        <v>36.009</v>
      </c>
      <c r="Z6" s="13">
        <v>0.58699999999999997</v>
      </c>
      <c r="AA6" s="13">
        <v>0.59599999999999997</v>
      </c>
      <c r="AB6" s="14">
        <v>155.14500000000001</v>
      </c>
      <c r="AE6" t="s">
        <v>32</v>
      </c>
      <c r="AF6" t="s">
        <v>271</v>
      </c>
      <c r="AG6">
        <v>0.55500000000000005</v>
      </c>
    </row>
    <row r="7" spans="3:33" x14ac:dyDescent="0.3">
      <c r="C7" s="27" t="s">
        <v>2</v>
      </c>
      <c r="D7" s="13">
        <v>38.85</v>
      </c>
      <c r="E7" s="14">
        <v>35.633000000000003</v>
      </c>
      <c r="F7" s="12">
        <v>39.313000000000002</v>
      </c>
      <c r="G7" s="13">
        <v>33.917999999999999</v>
      </c>
      <c r="H7" s="14">
        <v>158.91999999999999</v>
      </c>
      <c r="I7" s="12">
        <v>38.328999000000003</v>
      </c>
      <c r="J7" s="13">
        <v>36.842998999999999</v>
      </c>
      <c r="K7" s="13">
        <v>0.36399999999999999</v>
      </c>
      <c r="L7" s="13">
        <v>0.91200000000000003</v>
      </c>
      <c r="M7" s="14">
        <v>120.82299999999999</v>
      </c>
      <c r="N7" s="12">
        <v>38.384998000000003</v>
      </c>
      <c r="O7" s="13">
        <v>36.217998999999999</v>
      </c>
      <c r="P7" s="13">
        <v>0.41599999999999998</v>
      </c>
      <c r="Q7" s="13">
        <v>0.95499999999999996</v>
      </c>
      <c r="R7" s="15">
        <v>72.783000000000001</v>
      </c>
      <c r="S7" s="12">
        <v>38.670999999999999</v>
      </c>
      <c r="T7" s="13">
        <v>35.841000000000001</v>
      </c>
      <c r="U7" s="13">
        <v>0.34899999999999998</v>
      </c>
      <c r="V7" s="13">
        <v>0.36799999999999999</v>
      </c>
      <c r="W7" s="15">
        <v>26.952999999999999</v>
      </c>
      <c r="X7" s="12">
        <v>38.706000000000003</v>
      </c>
      <c r="Y7" s="13">
        <v>35.664000000000001</v>
      </c>
      <c r="Z7" s="13">
        <v>0.33600000000000002</v>
      </c>
      <c r="AA7" s="13">
        <v>0.36</v>
      </c>
      <c r="AB7" s="14">
        <v>16.178000000000001</v>
      </c>
      <c r="AE7" t="s">
        <v>272</v>
      </c>
      <c r="AF7" t="s">
        <v>273</v>
      </c>
      <c r="AG7">
        <v>0.61899999999999999</v>
      </c>
    </row>
    <row r="8" spans="3:33" x14ac:dyDescent="0.3">
      <c r="C8" s="27" t="s">
        <v>3</v>
      </c>
      <c r="D8" s="13">
        <v>40</v>
      </c>
      <c r="E8" s="14">
        <v>36.1</v>
      </c>
      <c r="F8" s="12">
        <v>40.045999999999999</v>
      </c>
      <c r="G8" s="13">
        <v>34.546999999999997</v>
      </c>
      <c r="H8" s="14">
        <v>136.26</v>
      </c>
      <c r="I8" s="12">
        <v>39.125999</v>
      </c>
      <c r="J8" s="13">
        <v>35.367001000000002</v>
      </c>
      <c r="K8" s="13">
        <v>0.61399999999999999</v>
      </c>
      <c r="L8" s="13">
        <v>1.2869999999999999</v>
      </c>
      <c r="M8" s="14">
        <v>116.49299999999999</v>
      </c>
      <c r="N8" s="12">
        <v>38.563999000000003</v>
      </c>
      <c r="O8" s="13">
        <v>37.478999999999999</v>
      </c>
      <c r="P8" s="13">
        <v>0.79800000000000004</v>
      </c>
      <c r="Q8" s="13">
        <v>2.4359999999999999</v>
      </c>
      <c r="R8" s="15">
        <v>200.18799999999999</v>
      </c>
      <c r="S8" s="12">
        <v>38.808999999999997</v>
      </c>
      <c r="T8" s="13">
        <v>36.308999999999997</v>
      </c>
      <c r="U8" s="13">
        <v>1.254</v>
      </c>
      <c r="V8" s="13">
        <v>1.4390000000000001</v>
      </c>
      <c r="W8" s="15">
        <v>133.63300000000001</v>
      </c>
      <c r="X8" s="12">
        <v>38.795999999999999</v>
      </c>
      <c r="Y8" s="13">
        <v>36.328000000000003</v>
      </c>
      <c r="Z8" s="13">
        <v>1.2470000000000001</v>
      </c>
      <c r="AA8" s="13">
        <v>1.4279999999999999</v>
      </c>
      <c r="AB8" s="14">
        <v>135.249</v>
      </c>
      <c r="AE8" t="s">
        <v>274</v>
      </c>
      <c r="AF8" t="s">
        <v>275</v>
      </c>
      <c r="AG8">
        <v>0.64</v>
      </c>
    </row>
    <row r="9" spans="3:33" x14ac:dyDescent="0.3">
      <c r="C9" s="27" t="s">
        <v>7</v>
      </c>
      <c r="D9" s="13">
        <v>39.363</v>
      </c>
      <c r="E9" s="14">
        <v>33.786999999999999</v>
      </c>
      <c r="F9" s="12">
        <v>38.887999999999998</v>
      </c>
      <c r="G9" s="13">
        <v>35.281999999999996</v>
      </c>
      <c r="H9" s="14">
        <v>141.30000000000001</v>
      </c>
      <c r="I9" s="12">
        <v>39.363998000000002</v>
      </c>
      <c r="J9" s="13">
        <v>35.150002000000001</v>
      </c>
      <c r="K9" s="13">
        <v>0.56100000000000005</v>
      </c>
      <c r="L9" s="13">
        <v>1.02</v>
      </c>
      <c r="M9" s="14">
        <v>119.52500000000001</v>
      </c>
      <c r="N9" s="12">
        <v>39.213000999999998</v>
      </c>
      <c r="O9" s="13">
        <v>33.773997999999999</v>
      </c>
      <c r="P9" s="13">
        <v>0.495</v>
      </c>
      <c r="Q9" s="13">
        <v>0.88400000000000001</v>
      </c>
      <c r="R9" s="15">
        <v>16.72</v>
      </c>
      <c r="S9" s="12">
        <v>39.093000000000004</v>
      </c>
      <c r="T9" s="13">
        <v>35.024999999999999</v>
      </c>
      <c r="U9" s="13">
        <v>1.3560000000000001</v>
      </c>
      <c r="V9" s="13">
        <v>1.3839999999999999</v>
      </c>
      <c r="W9" s="15">
        <v>112.622</v>
      </c>
      <c r="X9" s="12">
        <v>39.229999999999997</v>
      </c>
      <c r="Y9" s="13">
        <v>34.817</v>
      </c>
      <c r="Z9" s="13">
        <v>1.411</v>
      </c>
      <c r="AA9" s="13">
        <v>1.4419999999999999</v>
      </c>
      <c r="AB9" s="14">
        <v>91.504000000000005</v>
      </c>
    </row>
    <row r="10" spans="3:33" x14ac:dyDescent="0.3">
      <c r="C10" s="27" t="s">
        <v>15</v>
      </c>
      <c r="D10" s="13">
        <v>37.582999999999998</v>
      </c>
      <c r="E10" s="14">
        <v>36.933</v>
      </c>
      <c r="F10" s="12">
        <v>38.020000000000003</v>
      </c>
      <c r="G10" s="13">
        <v>36.503</v>
      </c>
      <c r="H10" s="14">
        <v>61.47</v>
      </c>
      <c r="I10" s="12">
        <v>38.043998999999999</v>
      </c>
      <c r="J10" s="13">
        <v>36.103999999999999</v>
      </c>
      <c r="K10" s="13">
        <v>0.23200000000000001</v>
      </c>
      <c r="L10" s="13">
        <v>0.57399999999999995</v>
      </c>
      <c r="M10" s="14">
        <v>88.926000000000002</v>
      </c>
      <c r="N10" s="12">
        <v>38.368000000000002</v>
      </c>
      <c r="O10" s="13">
        <v>35.435001</v>
      </c>
      <c r="P10" s="13">
        <v>0.42099999999999999</v>
      </c>
      <c r="Q10" s="13">
        <v>0.83299999999999996</v>
      </c>
      <c r="R10" s="15">
        <v>157.631</v>
      </c>
      <c r="S10" s="12">
        <v>38.258000000000003</v>
      </c>
      <c r="T10" s="13">
        <v>35.814</v>
      </c>
      <c r="U10" s="13">
        <v>0.93400000000000005</v>
      </c>
      <c r="V10" s="13">
        <v>0.874</v>
      </c>
      <c r="W10" s="15">
        <v>123.51600000000001</v>
      </c>
      <c r="X10" s="12">
        <v>38.273000000000003</v>
      </c>
      <c r="Y10" s="13">
        <v>35.838000000000001</v>
      </c>
      <c r="Z10" s="13">
        <v>0.91800000000000004</v>
      </c>
      <c r="AA10" s="13">
        <v>0.82499999999999996</v>
      </c>
      <c r="AB10" s="14">
        <v>122.82899999999999</v>
      </c>
    </row>
    <row r="11" spans="3:33" x14ac:dyDescent="0.3">
      <c r="C11" s="27" t="s">
        <v>8</v>
      </c>
      <c r="D11" s="13">
        <v>39.655000000000001</v>
      </c>
      <c r="E11" s="14">
        <v>31.994</v>
      </c>
      <c r="F11" s="12">
        <v>39.561</v>
      </c>
      <c r="G11" s="13">
        <v>33.356000000000002</v>
      </c>
      <c r="H11" s="14">
        <v>119.87</v>
      </c>
      <c r="I11" s="12">
        <v>39.084000000000003</v>
      </c>
      <c r="J11" s="13">
        <v>33.709999000000003</v>
      </c>
      <c r="K11" s="13">
        <v>0.32500000000000001</v>
      </c>
      <c r="L11" s="13">
        <v>0.48699999999999999</v>
      </c>
      <c r="M11" s="14">
        <v>163.32900000000001</v>
      </c>
      <c r="N11" s="12">
        <v>38.403998999999999</v>
      </c>
      <c r="O11" s="13">
        <v>35.700001</v>
      </c>
      <c r="P11" s="13">
        <v>0.38100000000000001</v>
      </c>
      <c r="Q11" s="13">
        <v>0.94</v>
      </c>
      <c r="R11" s="15">
        <v>353.38799999999998</v>
      </c>
      <c r="S11" s="12">
        <v>39.06</v>
      </c>
      <c r="T11" s="13">
        <v>34.875</v>
      </c>
      <c r="U11" s="13">
        <v>0.49399999999999999</v>
      </c>
      <c r="V11" s="13">
        <v>0.48099999999999998</v>
      </c>
      <c r="W11" s="15">
        <v>261.12099999999998</v>
      </c>
      <c r="X11" s="12">
        <v>38.783999999999999</v>
      </c>
      <c r="Y11" s="13">
        <v>35.463999999999999</v>
      </c>
      <c r="Z11" s="13">
        <v>0.45700000000000002</v>
      </c>
      <c r="AA11" s="13">
        <v>0.52</v>
      </c>
      <c r="AB11" s="14">
        <v>319.27300000000002</v>
      </c>
    </row>
    <row r="12" spans="3:33" x14ac:dyDescent="0.3">
      <c r="C12" s="27" t="s">
        <v>9</v>
      </c>
      <c r="D12" s="13">
        <v>39.619</v>
      </c>
      <c r="E12" s="14">
        <v>36.527999999999999</v>
      </c>
      <c r="F12" s="12">
        <v>38.299999999999997</v>
      </c>
      <c r="G12" s="13">
        <v>37.118000000000002</v>
      </c>
      <c r="H12" s="14">
        <v>155.41999999999999</v>
      </c>
      <c r="I12" s="12">
        <v>39.456001000000001</v>
      </c>
      <c r="J12" s="13">
        <v>35.683998000000003</v>
      </c>
      <c r="K12" s="13">
        <v>0.71299999999999997</v>
      </c>
      <c r="L12" s="13">
        <v>1.228</v>
      </c>
      <c r="M12" s="14">
        <v>76.200999999999993</v>
      </c>
      <c r="N12" s="12">
        <v>39.259998000000003</v>
      </c>
      <c r="O12" s="13">
        <v>35.783999999999999</v>
      </c>
      <c r="P12" s="13">
        <v>0.96499999999999997</v>
      </c>
      <c r="Q12" s="13">
        <v>1.7390000000000001</v>
      </c>
      <c r="R12" s="15">
        <v>76.454999999999998</v>
      </c>
      <c r="S12" s="12">
        <v>39.505000000000003</v>
      </c>
      <c r="T12" s="13">
        <v>35.841000000000001</v>
      </c>
      <c r="U12" s="13">
        <v>1.419</v>
      </c>
      <c r="V12" s="13">
        <v>1.643</v>
      </c>
      <c r="W12" s="15">
        <v>61.539000000000001</v>
      </c>
      <c r="X12" s="12">
        <v>39.593000000000004</v>
      </c>
      <c r="Y12" s="13">
        <v>35.665999999999997</v>
      </c>
      <c r="Z12" s="13">
        <v>1.4590000000000001</v>
      </c>
      <c r="AA12" s="13">
        <v>1.6659999999999999</v>
      </c>
      <c r="AB12" s="14">
        <v>75.667000000000002</v>
      </c>
    </row>
    <row r="13" spans="3:33" x14ac:dyDescent="0.3">
      <c r="C13" s="27" t="s">
        <v>4</v>
      </c>
      <c r="D13" s="13">
        <v>40.148000000000003</v>
      </c>
      <c r="E13" s="14">
        <v>35.762</v>
      </c>
      <c r="F13" s="12">
        <v>40</v>
      </c>
      <c r="G13" s="13">
        <v>35.817</v>
      </c>
      <c r="H13" s="14">
        <v>17.14</v>
      </c>
      <c r="I13" s="12">
        <v>39.886001999999998</v>
      </c>
      <c r="J13" s="13">
        <v>34.922001000000002</v>
      </c>
      <c r="K13" s="13">
        <v>0.64600000000000002</v>
      </c>
      <c r="L13" s="13">
        <v>0.97699999999999998</v>
      </c>
      <c r="M13" s="14">
        <v>79.218999999999994</v>
      </c>
      <c r="N13" s="12">
        <v>39.776001000000001</v>
      </c>
      <c r="O13" s="13">
        <v>34.433998000000003</v>
      </c>
      <c r="P13" s="13">
        <v>0.65900000000000003</v>
      </c>
      <c r="Q13" s="13">
        <v>1.2130000000000001</v>
      </c>
      <c r="R13" s="15">
        <v>123.541</v>
      </c>
      <c r="S13" s="12">
        <v>39.698999999999998</v>
      </c>
      <c r="T13" s="13">
        <v>35.540999999999997</v>
      </c>
      <c r="U13" s="13">
        <v>1.5649999999999999</v>
      </c>
      <c r="V13" s="13">
        <v>1.51</v>
      </c>
      <c r="W13" s="15">
        <v>53.481999999999999</v>
      </c>
      <c r="X13" s="12">
        <v>39.68</v>
      </c>
      <c r="Y13" s="13">
        <v>35.652999999999999</v>
      </c>
      <c r="Z13" s="13">
        <v>1.502</v>
      </c>
      <c r="AA13" s="13">
        <v>1.4690000000000001</v>
      </c>
      <c r="AB13" s="14">
        <v>52.878</v>
      </c>
    </row>
    <row r="14" spans="3:33" x14ac:dyDescent="0.3">
      <c r="C14" s="27" t="s">
        <v>10</v>
      </c>
      <c r="D14" s="13">
        <v>38.027000000000001</v>
      </c>
      <c r="E14" s="14">
        <v>38.234000000000002</v>
      </c>
      <c r="F14" s="12">
        <v>38.261000000000003</v>
      </c>
      <c r="G14" s="13">
        <v>37.113999999999997</v>
      </c>
      <c r="H14" s="14">
        <v>101.58</v>
      </c>
      <c r="I14" s="12">
        <v>38.186999999999998</v>
      </c>
      <c r="J14" s="13">
        <v>36.728000999999999</v>
      </c>
      <c r="K14" s="13">
        <v>0.24099999999999999</v>
      </c>
      <c r="L14" s="13">
        <v>0.61299999999999999</v>
      </c>
      <c r="M14" s="14">
        <v>133.22200000000001</v>
      </c>
      <c r="N14" s="12">
        <v>38.868000000000002</v>
      </c>
      <c r="O14" s="13">
        <v>34.743000000000002</v>
      </c>
      <c r="P14" s="13">
        <v>0.34200000000000003</v>
      </c>
      <c r="Q14" s="13">
        <v>0.79800000000000004</v>
      </c>
      <c r="R14" s="15">
        <v>320.03699999999998</v>
      </c>
      <c r="S14" s="12">
        <v>38.970999999999997</v>
      </c>
      <c r="T14" s="13">
        <v>35.758000000000003</v>
      </c>
      <c r="U14" s="13">
        <v>0.36899999999999999</v>
      </c>
      <c r="V14" s="13">
        <v>0.39200000000000002</v>
      </c>
      <c r="W14" s="15">
        <v>241.101</v>
      </c>
      <c r="X14" s="12">
        <v>39.085000000000001</v>
      </c>
      <c r="Y14" s="13">
        <v>35.225999999999999</v>
      </c>
      <c r="Z14" s="13">
        <v>0.36</v>
      </c>
      <c r="AA14" s="13">
        <v>0.48599999999999999</v>
      </c>
      <c r="AB14" s="14">
        <v>288.709</v>
      </c>
    </row>
    <row r="15" spans="3:33" x14ac:dyDescent="0.3">
      <c r="C15" s="27" t="s">
        <v>11</v>
      </c>
      <c r="D15" s="13">
        <v>38.411000000000001</v>
      </c>
      <c r="E15" s="14">
        <v>33.834000000000003</v>
      </c>
      <c r="F15" s="12">
        <v>39.835000000000001</v>
      </c>
      <c r="G15" s="13">
        <v>33.234000000000002</v>
      </c>
      <c r="H15" s="14">
        <v>166.74</v>
      </c>
      <c r="I15" s="12">
        <v>39.634998000000003</v>
      </c>
      <c r="J15" s="13">
        <v>33.276001000000001</v>
      </c>
      <c r="K15" s="13">
        <v>0.58899999999999997</v>
      </c>
      <c r="L15" s="13">
        <v>1.175</v>
      </c>
      <c r="M15" s="14">
        <v>144.50700000000001</v>
      </c>
      <c r="N15" s="12">
        <v>39.314999</v>
      </c>
      <c r="O15" s="13">
        <v>33.695999</v>
      </c>
      <c r="P15" s="13">
        <v>0.72299999999999998</v>
      </c>
      <c r="Q15" s="13">
        <v>1.3680000000000001</v>
      </c>
      <c r="R15" s="15">
        <v>101.206</v>
      </c>
      <c r="S15" s="12">
        <v>39.125</v>
      </c>
      <c r="T15" s="13">
        <v>34.222999999999999</v>
      </c>
      <c r="U15" s="13">
        <v>1.2809999999999999</v>
      </c>
      <c r="V15" s="13">
        <v>1.478</v>
      </c>
      <c r="W15" s="15">
        <v>86.328999999999994</v>
      </c>
      <c r="X15" s="12">
        <v>39.036000000000001</v>
      </c>
      <c r="Y15" s="13">
        <v>34.478000000000002</v>
      </c>
      <c r="Z15" s="13">
        <v>1.2869999999999999</v>
      </c>
      <c r="AA15" s="13">
        <v>1.4590000000000001</v>
      </c>
      <c r="AB15" s="14">
        <v>89.527000000000001</v>
      </c>
    </row>
    <row r="16" spans="3:33" x14ac:dyDescent="0.3">
      <c r="C16" s="27" t="s">
        <v>12</v>
      </c>
      <c r="D16" s="13">
        <v>38.021000000000001</v>
      </c>
      <c r="E16" s="14">
        <v>36.503</v>
      </c>
      <c r="F16" s="12">
        <v>37.582999999999998</v>
      </c>
      <c r="G16" s="13">
        <v>36.933</v>
      </c>
      <c r="H16" s="14">
        <v>61.56</v>
      </c>
      <c r="I16" s="12">
        <v>37.924999</v>
      </c>
      <c r="J16" s="13">
        <v>36.830002</v>
      </c>
      <c r="K16" s="13">
        <v>0.40600000000000003</v>
      </c>
      <c r="L16" s="13">
        <v>0.623</v>
      </c>
      <c r="M16" s="14">
        <v>30.600999999999999</v>
      </c>
      <c r="N16" s="12">
        <v>38.375</v>
      </c>
      <c r="O16" s="13">
        <v>36.870998</v>
      </c>
      <c r="P16" s="13">
        <v>0.91700000000000004</v>
      </c>
      <c r="Q16" s="13">
        <v>0.92700000000000005</v>
      </c>
      <c r="R16" s="15">
        <v>50.823</v>
      </c>
      <c r="S16" s="12">
        <v>38.558999999999997</v>
      </c>
      <c r="T16" s="13">
        <v>36.405999999999999</v>
      </c>
      <c r="U16" s="13">
        <v>1.194</v>
      </c>
      <c r="V16" s="13">
        <v>0.94599999999999995</v>
      </c>
      <c r="W16" s="15">
        <v>60.412999999999997</v>
      </c>
      <c r="X16" s="12">
        <v>38.823</v>
      </c>
      <c r="Y16" s="13">
        <v>36.244999999999997</v>
      </c>
      <c r="Z16" s="13">
        <v>1.2330000000000001</v>
      </c>
      <c r="AA16" s="13">
        <v>0.93</v>
      </c>
      <c r="AB16" s="14">
        <v>91.963999999999999</v>
      </c>
    </row>
    <row r="17" spans="3:28" x14ac:dyDescent="0.3">
      <c r="C17" s="27" t="s">
        <v>13</v>
      </c>
      <c r="D17" s="13">
        <v>39.584000000000003</v>
      </c>
      <c r="E17" s="14">
        <v>33.417999999999999</v>
      </c>
      <c r="F17" s="12">
        <v>39.003</v>
      </c>
      <c r="G17" s="13">
        <v>31.925999999999998</v>
      </c>
      <c r="H17" s="14">
        <v>145.87</v>
      </c>
      <c r="I17" s="12">
        <v>39.658999999999999</v>
      </c>
      <c r="J17" s="13">
        <v>33.285998999999997</v>
      </c>
      <c r="K17" s="13">
        <v>0.25600000000000001</v>
      </c>
      <c r="L17" s="13">
        <v>0.51600000000000001</v>
      </c>
      <c r="M17" s="14">
        <v>14.24</v>
      </c>
      <c r="N17" s="12">
        <v>39.533999999999999</v>
      </c>
      <c r="O17" s="13">
        <v>33.977001000000001</v>
      </c>
      <c r="P17" s="13">
        <v>0.38</v>
      </c>
      <c r="Q17" s="13">
        <v>0.58099999999999996</v>
      </c>
      <c r="R17" s="15">
        <v>49.314</v>
      </c>
      <c r="S17" s="12">
        <v>39.222000000000001</v>
      </c>
      <c r="T17" s="13">
        <v>34.421999999999997</v>
      </c>
      <c r="U17" s="13">
        <v>0.47499999999999998</v>
      </c>
      <c r="V17" s="13">
        <v>0.42899999999999999</v>
      </c>
      <c r="W17" s="15">
        <v>96.757000000000005</v>
      </c>
      <c r="X17" s="12">
        <v>39.261000000000003</v>
      </c>
      <c r="Y17" s="13">
        <v>34.402999999999999</v>
      </c>
      <c r="Z17" s="13">
        <v>0.48599999999999999</v>
      </c>
      <c r="AA17" s="13">
        <v>0.40899999999999997</v>
      </c>
      <c r="AB17" s="14">
        <v>93.488</v>
      </c>
    </row>
    <row r="18" spans="3:28" ht="15" thickBot="1" x14ac:dyDescent="0.35">
      <c r="C18" s="28" t="s">
        <v>14</v>
      </c>
      <c r="D18" s="17">
        <v>40.460999999999999</v>
      </c>
      <c r="E18" s="18">
        <v>35.65</v>
      </c>
      <c r="F18" s="16">
        <v>39.234000000000002</v>
      </c>
      <c r="G18" s="17">
        <v>34.213000000000001</v>
      </c>
      <c r="H18" s="18">
        <v>185.64</v>
      </c>
      <c r="I18" s="16">
        <v>39.644001000000003</v>
      </c>
      <c r="J18" s="17">
        <v>35.358001999999999</v>
      </c>
      <c r="K18" s="17">
        <v>0.75700000000000001</v>
      </c>
      <c r="L18" s="17">
        <v>0.97799999999999998</v>
      </c>
      <c r="M18" s="18">
        <v>94.292000000000002</v>
      </c>
      <c r="N18" s="16">
        <v>39.084000000000003</v>
      </c>
      <c r="O18" s="17">
        <v>35.289000999999999</v>
      </c>
      <c r="P18" s="17">
        <v>0.93500000000000005</v>
      </c>
      <c r="Q18" s="17">
        <v>1.1020000000000001</v>
      </c>
      <c r="R18" s="19">
        <v>156.244</v>
      </c>
      <c r="S18" s="16">
        <v>38.723999999999997</v>
      </c>
      <c r="T18" s="17">
        <v>35.723999999999997</v>
      </c>
      <c r="U18" s="17">
        <v>1.6419999999999999</v>
      </c>
      <c r="V18" s="17">
        <v>1.698</v>
      </c>
      <c r="W18" s="19">
        <v>193.102</v>
      </c>
      <c r="X18" s="16">
        <v>38.723999999999997</v>
      </c>
      <c r="Y18" s="17">
        <v>35.723999999999997</v>
      </c>
      <c r="Z18" s="17">
        <v>1.6419999999999999</v>
      </c>
      <c r="AA18" s="17">
        <v>1.698</v>
      </c>
      <c r="AB18" s="18">
        <v>193.11600000000001</v>
      </c>
    </row>
    <row r="19" spans="3:28" ht="15" thickBot="1" x14ac:dyDescent="0.35">
      <c r="H19" s="33">
        <f>AVERAGE(H4:H18)</f>
        <v>116.02933333333331</v>
      </c>
      <c r="M19" s="33">
        <f>AVERAGE(M4:M18)</f>
        <v>93.562200000000018</v>
      </c>
      <c r="R19" s="33">
        <f>AVERAGE(R4:R18)</f>
        <v>130.72219999999999</v>
      </c>
      <c r="W19" s="33">
        <f>AVERAGE(W4:W18)</f>
        <v>121.26373333333335</v>
      </c>
      <c r="AB19" s="33">
        <f>AVERAGE(AB4:AB18)</f>
        <v>128.76206666666664</v>
      </c>
    </row>
    <row r="20" spans="3:28" ht="24" thickBot="1" x14ac:dyDescent="0.5">
      <c r="I20" s="83" t="s">
        <v>87</v>
      </c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5"/>
    </row>
    <row r="21" spans="3:28" ht="16.2" thickBot="1" x14ac:dyDescent="0.35">
      <c r="I21" s="74" t="s">
        <v>34</v>
      </c>
      <c r="J21" s="75"/>
      <c r="K21" s="75"/>
      <c r="L21" s="75"/>
      <c r="M21" s="76"/>
      <c r="N21" s="74" t="s">
        <v>35</v>
      </c>
      <c r="O21" s="75"/>
      <c r="P21" s="75"/>
      <c r="Q21" s="75"/>
      <c r="R21" s="76"/>
      <c r="S21" s="74" t="s">
        <v>36</v>
      </c>
      <c r="T21" s="75"/>
      <c r="U21" s="75"/>
      <c r="V21" s="75"/>
      <c r="W21" s="76"/>
      <c r="X21" s="74" t="s">
        <v>37</v>
      </c>
      <c r="Y21" s="75"/>
      <c r="Z21" s="75"/>
      <c r="AA21" s="75"/>
      <c r="AB21" s="76"/>
    </row>
    <row r="22" spans="3:28" ht="16.2" thickBot="1" x14ac:dyDescent="0.35">
      <c r="F22" s="35" t="s">
        <v>38</v>
      </c>
      <c r="G22" s="1" t="s">
        <v>39</v>
      </c>
      <c r="H22" s="4" t="s">
        <v>40</v>
      </c>
      <c r="I22" s="1" t="s">
        <v>26</v>
      </c>
      <c r="J22" s="2" t="s">
        <v>25</v>
      </c>
      <c r="K22" s="2" t="s">
        <v>28</v>
      </c>
      <c r="L22" s="2" t="s">
        <v>27</v>
      </c>
      <c r="M22" s="3" t="s">
        <v>29</v>
      </c>
      <c r="N22" s="20" t="s">
        <v>26</v>
      </c>
      <c r="O22" s="2" t="s">
        <v>25</v>
      </c>
      <c r="P22" s="2" t="s">
        <v>28</v>
      </c>
      <c r="Q22" s="2" t="s">
        <v>27</v>
      </c>
      <c r="R22" s="3" t="s">
        <v>29</v>
      </c>
      <c r="S22" s="20" t="s">
        <v>26</v>
      </c>
      <c r="T22" s="2" t="s">
        <v>25</v>
      </c>
      <c r="U22" s="2" t="s">
        <v>28</v>
      </c>
      <c r="V22" s="2" t="s">
        <v>27</v>
      </c>
      <c r="W22" s="3" t="s">
        <v>29</v>
      </c>
      <c r="X22" s="20" t="s">
        <v>26</v>
      </c>
      <c r="Y22" s="2" t="s">
        <v>25</v>
      </c>
      <c r="Z22" s="2" t="s">
        <v>28</v>
      </c>
      <c r="AA22" s="2" t="s">
        <v>27</v>
      </c>
      <c r="AB22" s="3" t="s">
        <v>29</v>
      </c>
    </row>
    <row r="23" spans="3:28" x14ac:dyDescent="0.3">
      <c r="F23" s="36" t="s">
        <v>41</v>
      </c>
      <c r="G23" s="5">
        <v>37.765000000000001</v>
      </c>
      <c r="H23" s="8">
        <v>38.279000000000003</v>
      </c>
      <c r="I23" s="5">
        <v>38.438000000000002</v>
      </c>
      <c r="J23" s="6">
        <v>37.012000999999998</v>
      </c>
      <c r="K23" s="6">
        <v>0.80800000000000005</v>
      </c>
      <c r="L23" s="6">
        <v>1.502</v>
      </c>
      <c r="M23" s="7">
        <v>133.91999999999999</v>
      </c>
      <c r="N23" s="21">
        <v>38.360999999999997</v>
      </c>
      <c r="O23" s="6">
        <v>37.126998999999998</v>
      </c>
      <c r="P23" s="6">
        <v>0.71899999999999997</v>
      </c>
      <c r="Q23" s="6">
        <v>1.389</v>
      </c>
      <c r="R23" s="7">
        <v>120.749</v>
      </c>
      <c r="S23" s="21">
        <v>38.546999999999997</v>
      </c>
      <c r="T23" s="6">
        <v>37.052</v>
      </c>
      <c r="U23" s="6">
        <v>1.5569999999999999</v>
      </c>
      <c r="V23" s="6">
        <v>1.619</v>
      </c>
      <c r="W23" s="7">
        <v>138.28299999999999</v>
      </c>
      <c r="X23" s="21">
        <v>38.893999999999998</v>
      </c>
      <c r="Y23" s="6">
        <v>37.088999999999999</v>
      </c>
      <c r="Z23" s="6">
        <v>0.91400000000000003</v>
      </c>
      <c r="AA23" s="6">
        <v>1.135</v>
      </c>
      <c r="AB23" s="7">
        <v>163.17400000000001</v>
      </c>
    </row>
    <row r="24" spans="3:28" x14ac:dyDescent="0.3">
      <c r="F24" s="37" t="s">
        <v>42</v>
      </c>
      <c r="G24" s="12">
        <v>38.369</v>
      </c>
      <c r="H24" s="15">
        <v>34.036999999999999</v>
      </c>
      <c r="I24" s="12">
        <v>38.194000000000003</v>
      </c>
      <c r="J24" s="13">
        <v>35.460999000000001</v>
      </c>
      <c r="K24" s="13">
        <v>0.51700000000000002</v>
      </c>
      <c r="L24" s="13">
        <v>0.86899999999999999</v>
      </c>
      <c r="M24" s="14">
        <v>126.373</v>
      </c>
      <c r="N24" s="22">
        <v>38.201999999999998</v>
      </c>
      <c r="O24" s="13">
        <v>34.637000999999998</v>
      </c>
      <c r="P24" s="13">
        <v>0.28399999999999997</v>
      </c>
      <c r="Q24" s="13">
        <v>0.28000000000000003</v>
      </c>
      <c r="R24" s="14">
        <v>55.79</v>
      </c>
      <c r="S24" s="22">
        <v>37.878</v>
      </c>
      <c r="T24" s="13">
        <v>34.591000000000001</v>
      </c>
      <c r="U24" s="13">
        <v>1.1339999999999999</v>
      </c>
      <c r="V24" s="13">
        <v>1.1200000000000001</v>
      </c>
      <c r="W24" s="14">
        <v>73.036000000000001</v>
      </c>
      <c r="X24" s="22">
        <v>38.200000000000003</v>
      </c>
      <c r="Y24" s="13">
        <v>34.698999999999998</v>
      </c>
      <c r="Z24" s="13">
        <v>1.038</v>
      </c>
      <c r="AA24" s="13">
        <v>1.0509999999999999</v>
      </c>
      <c r="AB24" s="14">
        <v>60.978999999999999</v>
      </c>
    </row>
    <row r="25" spans="3:28" x14ac:dyDescent="0.3">
      <c r="F25" s="37" t="s">
        <v>43</v>
      </c>
      <c r="G25" s="12">
        <v>40.65</v>
      </c>
      <c r="H25" s="15">
        <v>35.83</v>
      </c>
      <c r="I25" s="12">
        <v>40.580002</v>
      </c>
      <c r="J25" s="13">
        <v>35.619999</v>
      </c>
      <c r="K25" s="13">
        <v>1.0049999999999999</v>
      </c>
      <c r="L25" s="13">
        <v>1.5309999999999999</v>
      </c>
      <c r="M25" s="14">
        <v>19.952000000000002</v>
      </c>
      <c r="N25" s="22">
        <v>40.472999999999999</v>
      </c>
      <c r="O25" s="13">
        <v>35.146000000000001</v>
      </c>
      <c r="P25" s="13">
        <v>0.53300000000000003</v>
      </c>
      <c r="Q25" s="13">
        <v>0.78400000000000003</v>
      </c>
      <c r="R25" s="14">
        <v>63.122</v>
      </c>
      <c r="S25" s="22">
        <v>40.220999999999997</v>
      </c>
      <c r="T25" s="13">
        <v>35.35</v>
      </c>
      <c r="U25" s="13">
        <v>0.90300000000000002</v>
      </c>
      <c r="V25" s="13">
        <v>1.028</v>
      </c>
      <c r="W25" s="14">
        <v>63.582999999999998</v>
      </c>
      <c r="X25" s="22">
        <v>40.402999999999999</v>
      </c>
      <c r="Y25" s="13">
        <v>35.398000000000003</v>
      </c>
      <c r="Z25" s="13">
        <v>0.69799999999999995</v>
      </c>
      <c r="AA25" s="13">
        <v>0.77900000000000003</v>
      </c>
      <c r="AB25" s="14">
        <v>46.771999999999998</v>
      </c>
    </row>
    <row r="26" spans="3:28" x14ac:dyDescent="0.3">
      <c r="F26" s="37" t="s">
        <v>44</v>
      </c>
      <c r="G26" s="12">
        <v>40.600999999999999</v>
      </c>
      <c r="H26" s="15">
        <v>33.613</v>
      </c>
      <c r="I26" s="12">
        <v>40.57</v>
      </c>
      <c r="J26" s="13">
        <v>34.750999</v>
      </c>
      <c r="K26" s="13">
        <v>1.2290000000000001</v>
      </c>
      <c r="L26" s="13">
        <v>1.0620000000000001</v>
      </c>
      <c r="M26" s="14">
        <v>99.82</v>
      </c>
      <c r="N26" s="22">
        <v>40.173999999999999</v>
      </c>
      <c r="O26" s="13">
        <v>34.332000999999998</v>
      </c>
      <c r="P26" s="13">
        <v>0.48599999999999999</v>
      </c>
      <c r="Q26" s="13">
        <v>0.63400000000000001</v>
      </c>
      <c r="R26" s="14">
        <v>78.876000000000005</v>
      </c>
      <c r="S26" s="22">
        <v>40.307000000000002</v>
      </c>
      <c r="T26" s="13">
        <v>35.287999999999997</v>
      </c>
      <c r="U26" s="13">
        <v>1.157</v>
      </c>
      <c r="V26" s="13">
        <v>1.764</v>
      </c>
      <c r="W26" s="14">
        <v>150.416</v>
      </c>
      <c r="X26" s="22">
        <v>39.959000000000003</v>
      </c>
      <c r="Y26" s="13">
        <v>35.396999999999998</v>
      </c>
      <c r="Z26" s="13">
        <v>1.2450000000000001</v>
      </c>
      <c r="AA26" s="13">
        <v>1.5840000000000001</v>
      </c>
      <c r="AB26" s="14">
        <v>171.916</v>
      </c>
    </row>
    <row r="27" spans="3:28" x14ac:dyDescent="0.3">
      <c r="F27" s="37" t="s">
        <v>45</v>
      </c>
      <c r="G27" s="12">
        <v>40.551000000000002</v>
      </c>
      <c r="H27" s="15">
        <v>34.956000000000003</v>
      </c>
      <c r="I27" s="12">
        <v>39.889000000000003</v>
      </c>
      <c r="J27" s="13">
        <v>35.522998999999999</v>
      </c>
      <c r="K27" s="13">
        <v>0.71399999999999997</v>
      </c>
      <c r="L27" s="13">
        <v>0.98399999999999999</v>
      </c>
      <c r="M27" s="14">
        <v>88.772000000000006</v>
      </c>
      <c r="N27" s="22">
        <v>40.165000999999997</v>
      </c>
      <c r="O27" s="13">
        <v>35.504002</v>
      </c>
      <c r="P27" s="13">
        <v>0.76500000000000001</v>
      </c>
      <c r="Q27" s="13">
        <v>0.82899999999999996</v>
      </c>
      <c r="R27" s="14">
        <v>64.421999999999997</v>
      </c>
      <c r="S27" s="22">
        <v>39.658999999999999</v>
      </c>
      <c r="T27" s="13">
        <v>35.656999999999996</v>
      </c>
      <c r="U27" s="13">
        <v>0.60199999999999998</v>
      </c>
      <c r="V27" s="13">
        <v>0.58699999999999997</v>
      </c>
      <c r="W27" s="14">
        <v>116.599</v>
      </c>
      <c r="X27" s="22">
        <v>39.851999999999997</v>
      </c>
      <c r="Y27" s="13">
        <v>35.64</v>
      </c>
      <c r="Z27" s="13">
        <v>0.52400000000000002</v>
      </c>
      <c r="AA27" s="13">
        <v>0.63</v>
      </c>
      <c r="AB27" s="14">
        <v>98.069000000000003</v>
      </c>
    </row>
    <row r="28" spans="3:28" x14ac:dyDescent="0.3">
      <c r="F28" s="37" t="s">
        <v>46</v>
      </c>
      <c r="G28" s="12">
        <v>37.570999999999998</v>
      </c>
      <c r="H28" s="15">
        <v>36.936999999999998</v>
      </c>
      <c r="I28" s="12">
        <v>38.082000999999998</v>
      </c>
      <c r="J28" s="13">
        <v>37.733001999999999</v>
      </c>
      <c r="K28" s="13">
        <v>0.48699999999999999</v>
      </c>
      <c r="L28" s="13">
        <v>1.4359999999999999</v>
      </c>
      <c r="M28" s="14">
        <v>89.965999999999994</v>
      </c>
      <c r="N28" s="22">
        <v>37.521999000000001</v>
      </c>
      <c r="O28" s="13">
        <v>38.603000999999999</v>
      </c>
      <c r="P28" s="13">
        <v>0.61499999999999999</v>
      </c>
      <c r="Q28" s="13">
        <v>1.548</v>
      </c>
      <c r="R28" s="14">
        <v>146.16999999999999</v>
      </c>
      <c r="S28" s="22">
        <v>38.381999999999998</v>
      </c>
      <c r="T28" s="13">
        <v>36.164000000000001</v>
      </c>
      <c r="U28" s="13">
        <v>0.64100000000000001</v>
      </c>
      <c r="V28" s="13">
        <v>0.81200000000000006</v>
      </c>
      <c r="W28" s="14">
        <v>112.73699999999999</v>
      </c>
      <c r="X28" s="22">
        <v>38.369999999999997</v>
      </c>
      <c r="Y28" s="13">
        <v>36.372999999999998</v>
      </c>
      <c r="Z28" s="13">
        <v>0.91200000000000003</v>
      </c>
      <c r="AA28" s="13">
        <v>0.78500000000000003</v>
      </c>
      <c r="AB28" s="14">
        <v>101.625</v>
      </c>
    </row>
    <row r="29" spans="3:28" x14ac:dyDescent="0.3">
      <c r="F29" s="37" t="s">
        <v>47</v>
      </c>
      <c r="G29" s="12">
        <v>38.731000000000002</v>
      </c>
      <c r="H29" s="15">
        <v>35.478999999999999</v>
      </c>
      <c r="I29" s="12">
        <v>38.860999999999997</v>
      </c>
      <c r="J29" s="13">
        <v>34.787998000000002</v>
      </c>
      <c r="K29" s="13">
        <v>0.21099999999999999</v>
      </c>
      <c r="L29" s="13">
        <v>0.27200000000000002</v>
      </c>
      <c r="M29" s="14">
        <v>62.277000000000001</v>
      </c>
      <c r="N29" s="22">
        <v>38.691001999999997</v>
      </c>
      <c r="O29" s="13">
        <v>34.896999000000001</v>
      </c>
      <c r="P29" s="13">
        <v>0.32500000000000001</v>
      </c>
      <c r="Q29" s="13">
        <v>0.38200000000000001</v>
      </c>
      <c r="R29" s="14">
        <v>51.192</v>
      </c>
      <c r="S29" s="22">
        <v>39.158999999999999</v>
      </c>
      <c r="T29" s="13">
        <v>35.447000000000003</v>
      </c>
      <c r="U29" s="13">
        <v>0.19500000000000001</v>
      </c>
      <c r="V29" s="13">
        <v>0.308</v>
      </c>
      <c r="W29" s="14">
        <v>47.606999999999999</v>
      </c>
      <c r="X29" s="22">
        <v>39.085000000000001</v>
      </c>
      <c r="Y29" s="13">
        <v>35.570999999999998</v>
      </c>
      <c r="Z29" s="13">
        <v>0.2</v>
      </c>
      <c r="AA29" s="13">
        <v>0.17699999999999999</v>
      </c>
      <c r="AB29" s="14">
        <v>40.183</v>
      </c>
    </row>
    <row r="30" spans="3:28" x14ac:dyDescent="0.3">
      <c r="F30" s="37" t="s">
        <v>48</v>
      </c>
      <c r="G30" s="12">
        <v>39.847000000000001</v>
      </c>
      <c r="H30" s="15">
        <v>33.515000000000001</v>
      </c>
      <c r="I30" s="12">
        <v>40.152000000000001</v>
      </c>
      <c r="J30" s="13">
        <v>35.042000000000002</v>
      </c>
      <c r="K30" s="13">
        <v>0.72599999999999998</v>
      </c>
      <c r="L30" s="13">
        <v>1.0649999999999999</v>
      </c>
      <c r="M30" s="14">
        <v>138.06100000000001</v>
      </c>
      <c r="N30" s="22">
        <v>40.162998000000002</v>
      </c>
      <c r="O30" s="13">
        <v>34.507998999999998</v>
      </c>
      <c r="P30" s="13">
        <v>0.60799999999999998</v>
      </c>
      <c r="Q30" s="13">
        <v>0.65400000000000003</v>
      </c>
      <c r="R30" s="14">
        <v>93.885000000000005</v>
      </c>
      <c r="S30" s="22">
        <v>40.029000000000003</v>
      </c>
      <c r="T30" s="13">
        <v>34.552999999999997</v>
      </c>
      <c r="U30" s="13">
        <v>1.4470000000000001</v>
      </c>
      <c r="V30" s="13">
        <v>1.3380000000000001</v>
      </c>
      <c r="W30" s="14">
        <v>93.206999999999994</v>
      </c>
      <c r="X30" s="22">
        <v>39.673000000000002</v>
      </c>
      <c r="Y30" s="13">
        <v>34.595999999999997</v>
      </c>
      <c r="Z30" s="13">
        <v>1.556</v>
      </c>
      <c r="AA30" s="13">
        <v>1.5649999999999999</v>
      </c>
      <c r="AB30" s="14">
        <v>96.724000000000004</v>
      </c>
    </row>
    <row r="31" spans="3:28" x14ac:dyDescent="0.3">
      <c r="F31" s="37" t="s">
        <v>49</v>
      </c>
      <c r="G31" s="12">
        <v>39.142000000000003</v>
      </c>
      <c r="H31" s="15">
        <v>34.170999999999999</v>
      </c>
      <c r="I31" s="12">
        <v>39.087001999999998</v>
      </c>
      <c r="J31" s="13">
        <v>35.493999000000002</v>
      </c>
      <c r="K31" s="13">
        <v>0.71299999999999997</v>
      </c>
      <c r="L31" s="13">
        <v>0.72499999999999998</v>
      </c>
      <c r="M31" s="14">
        <v>116.18300000000001</v>
      </c>
      <c r="N31" s="22">
        <v>39.331001000000001</v>
      </c>
      <c r="O31" s="13">
        <v>34.573002000000002</v>
      </c>
      <c r="P31" s="13">
        <v>0.433</v>
      </c>
      <c r="Q31" s="13">
        <v>0.69</v>
      </c>
      <c r="R31" s="14">
        <v>40.985999999999997</v>
      </c>
      <c r="S31" s="22">
        <v>39.091999999999999</v>
      </c>
      <c r="T31" s="13">
        <v>34.311999999999998</v>
      </c>
      <c r="U31" s="13">
        <v>1.393</v>
      </c>
      <c r="V31" s="13">
        <v>1.266</v>
      </c>
      <c r="W31" s="14">
        <v>13.592000000000001</v>
      </c>
      <c r="X31" s="22">
        <v>38.902000000000001</v>
      </c>
      <c r="Y31" s="13">
        <v>34.587000000000003</v>
      </c>
      <c r="Z31" s="13">
        <v>0.98899999999999999</v>
      </c>
      <c r="AA31" s="13">
        <v>1.3620000000000001</v>
      </c>
      <c r="AB31" s="14">
        <v>45.259</v>
      </c>
    </row>
    <row r="32" spans="3:28" x14ac:dyDescent="0.3">
      <c r="F32" s="37" t="s">
        <v>50</v>
      </c>
      <c r="G32" s="12">
        <v>38.354999999999997</v>
      </c>
      <c r="H32" s="15">
        <v>38.31</v>
      </c>
      <c r="I32" s="12">
        <v>38.112999000000002</v>
      </c>
      <c r="J32" s="13">
        <v>39.077998999999998</v>
      </c>
      <c r="K32" s="13">
        <v>1.371</v>
      </c>
      <c r="L32" s="13">
        <v>2.67</v>
      </c>
      <c r="M32" s="14">
        <v>72.537999999999997</v>
      </c>
      <c r="N32" s="22">
        <v>37.737000000000002</v>
      </c>
      <c r="O32" s="13">
        <v>39.028998999999999</v>
      </c>
      <c r="P32" s="13">
        <v>1.4139999999999999</v>
      </c>
      <c r="Q32" s="13">
        <v>3.161</v>
      </c>
      <c r="R32" s="14">
        <v>93.260999999999996</v>
      </c>
      <c r="S32" s="22">
        <v>38.692</v>
      </c>
      <c r="T32" s="13">
        <v>36.756</v>
      </c>
      <c r="U32" s="13">
        <v>1.04</v>
      </c>
      <c r="V32" s="13">
        <v>1.0049999999999999</v>
      </c>
      <c r="W32" s="14">
        <v>141.273</v>
      </c>
      <c r="X32" s="22">
        <v>38.69</v>
      </c>
      <c r="Y32" s="13">
        <v>36.494999999999997</v>
      </c>
      <c r="Z32" s="13">
        <v>0.89300000000000002</v>
      </c>
      <c r="AA32" s="13">
        <v>1.02</v>
      </c>
      <c r="AB32" s="14">
        <v>163.404</v>
      </c>
    </row>
    <row r="33" spans="6:28" x14ac:dyDescent="0.3">
      <c r="F33" s="37" t="s">
        <v>51</v>
      </c>
      <c r="G33" s="12">
        <v>38.624000000000002</v>
      </c>
      <c r="H33" s="15">
        <v>34.713999999999999</v>
      </c>
      <c r="I33" s="12">
        <v>38.465000000000003</v>
      </c>
      <c r="J33" s="13">
        <v>35.338000999999998</v>
      </c>
      <c r="K33" s="13">
        <v>0.22800000000000001</v>
      </c>
      <c r="L33" s="13">
        <v>0.36599999999999999</v>
      </c>
      <c r="M33" s="14">
        <v>57.472000000000001</v>
      </c>
      <c r="N33" s="22">
        <v>38.582000999999998</v>
      </c>
      <c r="O33" s="13">
        <v>34.722999999999999</v>
      </c>
      <c r="P33" s="13">
        <v>0.26</v>
      </c>
      <c r="Q33" s="13">
        <v>0.5</v>
      </c>
      <c r="R33" s="14">
        <v>4.7569999999999997</v>
      </c>
      <c r="S33" s="22">
        <v>38.606999999999999</v>
      </c>
      <c r="T33" s="13">
        <v>34.906999999999996</v>
      </c>
      <c r="U33" s="13">
        <v>0.74399999999999999</v>
      </c>
      <c r="V33" s="13">
        <v>0.85299999999999998</v>
      </c>
      <c r="W33" s="14">
        <v>17.021000000000001</v>
      </c>
      <c r="X33" s="22">
        <v>38.436</v>
      </c>
      <c r="Y33" s="13">
        <v>34.817</v>
      </c>
      <c r="Z33" s="13">
        <v>0.65800000000000003</v>
      </c>
      <c r="AA33" s="13">
        <v>0.72099999999999997</v>
      </c>
      <c r="AB33" s="14">
        <v>22.803000000000001</v>
      </c>
    </row>
    <row r="34" spans="6:28" x14ac:dyDescent="0.3">
      <c r="F34" s="37" t="s">
        <v>52</v>
      </c>
      <c r="G34" s="12">
        <v>37.966999999999999</v>
      </c>
      <c r="H34" s="15">
        <v>34.683</v>
      </c>
      <c r="I34" s="12">
        <v>38.411999000000002</v>
      </c>
      <c r="J34" s="13">
        <v>35.181998999999998</v>
      </c>
      <c r="K34" s="13">
        <v>0.39</v>
      </c>
      <c r="L34" s="13">
        <v>0.97099999999999997</v>
      </c>
      <c r="M34" s="14">
        <v>65.968000000000004</v>
      </c>
      <c r="N34" s="22">
        <v>38.423000000000002</v>
      </c>
      <c r="O34" s="13">
        <v>34.557999000000002</v>
      </c>
      <c r="P34" s="13">
        <v>0.28799999999999998</v>
      </c>
      <c r="Q34" s="13">
        <v>0.497</v>
      </c>
      <c r="R34" s="14">
        <v>51.857999999999997</v>
      </c>
      <c r="S34" s="22">
        <v>38.039000000000001</v>
      </c>
      <c r="T34" s="13">
        <v>35.1</v>
      </c>
      <c r="U34" s="13">
        <v>1.129</v>
      </c>
      <c r="V34" s="13">
        <v>1.0740000000000001</v>
      </c>
      <c r="W34" s="14">
        <v>37.387</v>
      </c>
      <c r="X34" s="22">
        <v>38.164999999999999</v>
      </c>
      <c r="Y34" s="13">
        <v>35.265000000000001</v>
      </c>
      <c r="Z34" s="13">
        <v>1.0589999999999999</v>
      </c>
      <c r="AA34" s="13">
        <v>1.024</v>
      </c>
      <c r="AB34" s="14">
        <v>55.53</v>
      </c>
    </row>
    <row r="35" spans="6:28" x14ac:dyDescent="0.3">
      <c r="F35" s="37" t="s">
        <v>53</v>
      </c>
      <c r="G35" s="12">
        <v>39.747999999999998</v>
      </c>
      <c r="H35" s="15">
        <v>37.018000000000001</v>
      </c>
      <c r="I35" s="12">
        <v>39.622002000000002</v>
      </c>
      <c r="J35" s="13">
        <v>37.340000000000003</v>
      </c>
      <c r="K35" s="13">
        <v>1.248</v>
      </c>
      <c r="L35" s="13">
        <v>1.792</v>
      </c>
      <c r="M35" s="14">
        <v>31.521000000000001</v>
      </c>
      <c r="N35" s="22">
        <v>40.235999999999997</v>
      </c>
      <c r="O35" s="13">
        <v>36.561999999999998</v>
      </c>
      <c r="P35" s="13">
        <v>0.70699999999999996</v>
      </c>
      <c r="Q35" s="13">
        <v>1.2709999999999999</v>
      </c>
      <c r="R35" s="14">
        <v>67.358000000000004</v>
      </c>
      <c r="S35" s="22">
        <v>39.798000000000002</v>
      </c>
      <c r="T35" s="13">
        <v>35.811999999999998</v>
      </c>
      <c r="U35" s="13">
        <v>0.75</v>
      </c>
      <c r="V35" s="13">
        <v>0.72399999999999998</v>
      </c>
      <c r="W35" s="14">
        <v>105.86199999999999</v>
      </c>
      <c r="X35" s="22">
        <v>39.953000000000003</v>
      </c>
      <c r="Y35" s="13">
        <v>35.902999999999999</v>
      </c>
      <c r="Z35" s="13">
        <v>0.61499999999999999</v>
      </c>
      <c r="AA35" s="13">
        <v>0.78900000000000003</v>
      </c>
      <c r="AB35" s="14">
        <v>100.405</v>
      </c>
    </row>
    <row r="36" spans="6:28" x14ac:dyDescent="0.3">
      <c r="F36" s="37" t="s">
        <v>54</v>
      </c>
      <c r="G36" s="12">
        <v>40.317</v>
      </c>
      <c r="H36" s="15">
        <v>36.549999999999997</v>
      </c>
      <c r="I36" s="12">
        <v>40.548000000000002</v>
      </c>
      <c r="J36" s="13">
        <v>37.356997999999997</v>
      </c>
      <c r="K36" s="13">
        <v>1.284</v>
      </c>
      <c r="L36" s="13">
        <v>1.994</v>
      </c>
      <c r="M36" s="14">
        <v>75.301000000000002</v>
      </c>
      <c r="N36" s="22">
        <v>40.948002000000002</v>
      </c>
      <c r="O36" s="13">
        <v>36.923000000000002</v>
      </c>
      <c r="P36" s="13">
        <v>0.66100000000000003</v>
      </c>
      <c r="Q36" s="13">
        <v>1.0660000000000001</v>
      </c>
      <c r="R36" s="14">
        <v>77.388000000000005</v>
      </c>
      <c r="S36" s="22">
        <v>39.805999999999997</v>
      </c>
      <c r="T36" s="13">
        <v>35.912999999999997</v>
      </c>
      <c r="U36" s="13">
        <v>0.68600000000000005</v>
      </c>
      <c r="V36" s="13">
        <v>0.68600000000000005</v>
      </c>
      <c r="W36" s="14">
        <v>79.599999999999994</v>
      </c>
      <c r="X36" s="22">
        <v>40.154000000000003</v>
      </c>
      <c r="Y36" s="13">
        <v>35.965000000000003</v>
      </c>
      <c r="Z36" s="13">
        <v>0.66100000000000003</v>
      </c>
      <c r="AA36" s="13">
        <v>0.84599999999999997</v>
      </c>
      <c r="AB36" s="14">
        <v>54.338000000000001</v>
      </c>
    </row>
    <row r="37" spans="6:28" ht="15" thickBot="1" x14ac:dyDescent="0.35">
      <c r="F37" s="38" t="s">
        <v>55</v>
      </c>
      <c r="G37" s="16">
        <v>39.817999999999998</v>
      </c>
      <c r="H37" s="19">
        <v>34.814999999999998</v>
      </c>
      <c r="I37" s="16">
        <v>39.298000000000002</v>
      </c>
      <c r="J37" s="17">
        <v>35.144001000000003</v>
      </c>
      <c r="K37" s="17">
        <v>0.36199999999999999</v>
      </c>
      <c r="L37" s="17">
        <v>0.76400000000000001</v>
      </c>
      <c r="M37" s="18">
        <v>64.653000000000006</v>
      </c>
      <c r="N37" s="23">
        <v>39.618999000000002</v>
      </c>
      <c r="O37" s="17">
        <v>34.358001999999999</v>
      </c>
      <c r="P37" s="17">
        <v>0.39800000000000002</v>
      </c>
      <c r="Q37" s="17">
        <v>0.40500000000000003</v>
      </c>
      <c r="R37" s="18">
        <v>45.792000000000002</v>
      </c>
      <c r="S37" s="23">
        <v>39.665999999999997</v>
      </c>
      <c r="T37" s="17">
        <v>34.988999999999997</v>
      </c>
      <c r="U37" s="17">
        <v>0.442</v>
      </c>
      <c r="V37" s="17">
        <v>0.45700000000000002</v>
      </c>
      <c r="W37" s="18">
        <v>22.725999999999999</v>
      </c>
      <c r="X37" s="23">
        <v>39.713999999999999</v>
      </c>
      <c r="Y37" s="17">
        <v>34.878999999999998</v>
      </c>
      <c r="Z37" s="17">
        <v>0.55100000000000005</v>
      </c>
      <c r="AA37" s="17">
        <v>0.70799999999999996</v>
      </c>
      <c r="AB37" s="18">
        <v>12.852</v>
      </c>
    </row>
    <row r="38" spans="6:28" x14ac:dyDescent="0.3">
      <c r="M38" s="33">
        <f>AVERAGE(M23:M37)</f>
        <v>82.851799999999997</v>
      </c>
      <c r="R38" s="33">
        <f>AVERAGE(R23:R37)</f>
        <v>70.373733333333334</v>
      </c>
      <c r="W38" s="33">
        <f>AVERAGE(W23:W37)</f>
        <v>80.86193333333334</v>
      </c>
      <c r="AB38" s="33">
        <f>AVERAGE(AB23:AB37)</f>
        <v>82.268866666666682</v>
      </c>
    </row>
    <row r="40" spans="6:28" ht="15" thickBot="1" x14ac:dyDescent="0.35"/>
    <row r="41" spans="6:28" ht="24" thickBot="1" x14ac:dyDescent="0.5">
      <c r="F41" s="59"/>
      <c r="G41" s="83" t="s">
        <v>88</v>
      </c>
      <c r="H41" s="84"/>
      <c r="I41" s="84"/>
      <c r="J41" s="84"/>
      <c r="K41" s="84"/>
      <c r="L41" s="84"/>
      <c r="M41" s="84"/>
      <c r="N41" s="84"/>
      <c r="O41" s="85"/>
      <c r="U41" s="86" t="s">
        <v>89</v>
      </c>
      <c r="V41" s="87"/>
      <c r="W41" s="87"/>
      <c r="X41" s="87"/>
      <c r="Y41" s="87"/>
      <c r="Z41" s="88"/>
    </row>
    <row r="42" spans="6:28" ht="16.2" thickBot="1" x14ac:dyDescent="0.35">
      <c r="F42" s="59"/>
      <c r="G42" s="77" t="s">
        <v>18</v>
      </c>
      <c r="H42" s="78"/>
      <c r="I42" s="89" t="s">
        <v>56</v>
      </c>
      <c r="J42" s="90"/>
      <c r="K42" s="90"/>
      <c r="L42" s="90"/>
      <c r="M42" s="90"/>
      <c r="N42" s="90"/>
      <c r="O42" s="91"/>
      <c r="P42" s="51"/>
      <c r="Q42" s="51"/>
      <c r="R42" s="51"/>
      <c r="U42" s="77" t="s">
        <v>18</v>
      </c>
      <c r="V42" s="82"/>
      <c r="W42" s="77" t="s">
        <v>57</v>
      </c>
      <c r="X42" s="82"/>
      <c r="Y42" s="77" t="s">
        <v>58</v>
      </c>
      <c r="Z42" s="82"/>
    </row>
    <row r="43" spans="6:28" ht="29.4" thickBot="1" x14ac:dyDescent="0.35">
      <c r="F43" s="35" t="s">
        <v>0</v>
      </c>
      <c r="G43" s="40" t="s">
        <v>22</v>
      </c>
      <c r="H43" s="41" t="s">
        <v>23</v>
      </c>
      <c r="I43" s="57" t="s">
        <v>26</v>
      </c>
      <c r="J43" s="58" t="s">
        <v>25</v>
      </c>
      <c r="K43" s="58" t="s">
        <v>28</v>
      </c>
      <c r="L43" s="58" t="s">
        <v>27</v>
      </c>
      <c r="M43" s="58" t="s">
        <v>59</v>
      </c>
      <c r="N43" s="61" t="s">
        <v>283</v>
      </c>
      <c r="O43" s="62" t="s">
        <v>284</v>
      </c>
      <c r="P43" s="51"/>
      <c r="Q43" s="51"/>
      <c r="R43" s="51"/>
      <c r="T43" s="35" t="s">
        <v>0</v>
      </c>
      <c r="U43" s="40" t="s">
        <v>22</v>
      </c>
      <c r="V43" s="42" t="s">
        <v>23</v>
      </c>
      <c r="W43" s="40" t="s">
        <v>22</v>
      </c>
      <c r="X43" s="42" t="s">
        <v>23</v>
      </c>
      <c r="Y43" s="40" t="s">
        <v>22</v>
      </c>
      <c r="Z43" s="42" t="s">
        <v>23</v>
      </c>
    </row>
    <row r="44" spans="6:28" ht="15.6" x14ac:dyDescent="0.3">
      <c r="F44" s="43" t="s">
        <v>60</v>
      </c>
      <c r="G44" s="9">
        <v>40.47</v>
      </c>
      <c r="H44" s="11">
        <v>35.65</v>
      </c>
      <c r="I44" s="48">
        <v>39.793998999999999</v>
      </c>
      <c r="J44" s="49">
        <v>34.244999</v>
      </c>
      <c r="K44" s="13">
        <v>0.32300000000000001</v>
      </c>
      <c r="L44" s="13">
        <v>0.624</v>
      </c>
      <c r="M44" s="13">
        <v>144.26</v>
      </c>
      <c r="N44" s="49">
        <v>160.92699999999999</v>
      </c>
      <c r="O44" s="52">
        <v>76.504999999999995</v>
      </c>
      <c r="T44" s="43" t="s">
        <v>60</v>
      </c>
      <c r="U44" s="9">
        <v>40.47</v>
      </c>
      <c r="V44" s="44">
        <v>35.65</v>
      </c>
      <c r="W44" s="45">
        <v>40.880000000000003</v>
      </c>
      <c r="X44" s="46">
        <v>35.46</v>
      </c>
      <c r="Y44" s="45">
        <v>39.57</v>
      </c>
      <c r="Z44" s="46">
        <v>33.42</v>
      </c>
    </row>
    <row r="45" spans="6:28" ht="15.6" x14ac:dyDescent="0.3">
      <c r="F45" s="47" t="s">
        <v>61</v>
      </c>
      <c r="G45" s="12">
        <v>37.549999999999997</v>
      </c>
      <c r="H45" s="15">
        <v>38.479999999999997</v>
      </c>
      <c r="I45" s="48">
        <v>39.692000999999998</v>
      </c>
      <c r="J45" s="49">
        <v>35.797001000000002</v>
      </c>
      <c r="K45" s="13">
        <v>0.247</v>
      </c>
      <c r="L45" s="13">
        <v>0.41799999999999998</v>
      </c>
      <c r="M45" s="13">
        <v>241.6</v>
      </c>
      <c r="N45" s="49">
        <v>332.28100000000001</v>
      </c>
      <c r="O45" s="52">
        <v>332.28100000000001</v>
      </c>
      <c r="T45" s="47" t="s">
        <v>61</v>
      </c>
      <c r="U45" s="12">
        <v>38.429000000000002</v>
      </c>
      <c r="V45" s="14">
        <v>38.04</v>
      </c>
      <c r="W45" s="29">
        <v>37.58</v>
      </c>
      <c r="X45" s="30">
        <v>38.479999999999997</v>
      </c>
      <c r="Y45" s="29">
        <v>37.58</v>
      </c>
      <c r="Z45" s="30">
        <v>38.479999999999997</v>
      </c>
    </row>
    <row r="46" spans="6:28" ht="15.6" x14ac:dyDescent="0.3">
      <c r="F46" s="47" t="s">
        <v>62</v>
      </c>
      <c r="G46" s="12">
        <v>40</v>
      </c>
      <c r="H46" s="15">
        <v>36.5</v>
      </c>
      <c r="I46" s="48">
        <v>38.875</v>
      </c>
      <c r="J46" s="49">
        <v>37.374001</v>
      </c>
      <c r="K46" s="13">
        <v>0.49299999999999999</v>
      </c>
      <c r="L46" s="13">
        <v>1.044</v>
      </c>
      <c r="M46" s="13">
        <v>217.37</v>
      </c>
      <c r="N46" s="49">
        <v>153.79499999999999</v>
      </c>
      <c r="O46" s="52">
        <v>205.45599999999999</v>
      </c>
      <c r="T46" s="47" t="s">
        <v>62</v>
      </c>
      <c r="U46" s="12">
        <v>40.712000000000003</v>
      </c>
      <c r="V46" s="14">
        <v>36.520000000000003</v>
      </c>
      <c r="W46" s="29">
        <v>40.08</v>
      </c>
      <c r="X46" s="30">
        <v>36.51</v>
      </c>
      <c r="Y46" s="29">
        <v>40.299999999999997</v>
      </c>
      <c r="Z46" s="30">
        <v>35.880000000000003</v>
      </c>
    </row>
    <row r="47" spans="6:28" ht="15.6" x14ac:dyDescent="0.3">
      <c r="F47" s="47" t="s">
        <v>63</v>
      </c>
      <c r="G47" s="12">
        <v>38.65</v>
      </c>
      <c r="H47" s="15">
        <v>34.799999999999997</v>
      </c>
      <c r="I47" s="48">
        <v>39.57</v>
      </c>
      <c r="J47" s="49">
        <v>34.243000000000002</v>
      </c>
      <c r="K47" s="13">
        <v>0.51300000000000001</v>
      </c>
      <c r="L47" s="13">
        <v>0.78700000000000003</v>
      </c>
      <c r="M47" s="13">
        <v>73.52</v>
      </c>
      <c r="N47" s="49">
        <v>91.879000000000005</v>
      </c>
      <c r="O47" s="52">
        <v>72.436999999999998</v>
      </c>
      <c r="T47" s="47" t="s">
        <v>63</v>
      </c>
      <c r="U47" s="12">
        <v>38.976999999999997</v>
      </c>
      <c r="V47" s="14">
        <v>34.613999999999997</v>
      </c>
      <c r="W47" s="29">
        <v>38.950000000000003</v>
      </c>
      <c r="X47" s="30">
        <v>33.549999999999997</v>
      </c>
      <c r="Y47" s="29">
        <v>39.020000000000003</v>
      </c>
      <c r="Z47" s="30">
        <v>33.799999999999997</v>
      </c>
    </row>
    <row r="48" spans="6:28" ht="15.6" x14ac:dyDescent="0.3">
      <c r="F48" s="47" t="s">
        <v>64</v>
      </c>
      <c r="G48" s="12">
        <v>38.6</v>
      </c>
      <c r="H48" s="15">
        <v>33.9</v>
      </c>
      <c r="I48" s="48">
        <v>39.202998999999998</v>
      </c>
      <c r="J48" s="49">
        <v>33.442000999999998</v>
      </c>
      <c r="K48" s="13">
        <v>0.219</v>
      </c>
      <c r="L48" s="13">
        <v>0.42099999999999999</v>
      </c>
      <c r="M48" s="13">
        <v>75.28</v>
      </c>
      <c r="N48" s="49">
        <v>193.381</v>
      </c>
      <c r="O48" s="52">
        <v>95.53</v>
      </c>
      <c r="T48" s="47" t="s">
        <v>64</v>
      </c>
      <c r="U48" s="12">
        <v>39.71</v>
      </c>
      <c r="V48" s="14">
        <v>32.872</v>
      </c>
      <c r="W48" s="29">
        <v>38.35</v>
      </c>
      <c r="X48" s="30">
        <v>31.52</v>
      </c>
      <c r="Y48" s="29">
        <v>38.4</v>
      </c>
      <c r="Z48" s="30">
        <v>33.83</v>
      </c>
    </row>
    <row r="49" spans="6:27" ht="15.6" x14ac:dyDescent="0.3">
      <c r="F49" s="47" t="s">
        <v>65</v>
      </c>
      <c r="G49" s="12">
        <v>40.200000000000003</v>
      </c>
      <c r="H49" s="15">
        <v>35.1</v>
      </c>
      <c r="I49" s="48">
        <v>40.389999000000003</v>
      </c>
      <c r="J49" s="49">
        <v>35.564999</v>
      </c>
      <c r="K49" s="13">
        <v>0.33500000000000002</v>
      </c>
      <c r="L49" s="13">
        <v>0.45200000000000001</v>
      </c>
      <c r="M49" s="13">
        <v>77.98</v>
      </c>
      <c r="N49" s="49">
        <v>68.114000000000004</v>
      </c>
      <c r="O49" s="52">
        <v>68.114000000000004</v>
      </c>
      <c r="T49" s="47" t="s">
        <v>65</v>
      </c>
      <c r="U49" s="12">
        <v>39.956000000000003</v>
      </c>
      <c r="V49" s="14">
        <v>34.866</v>
      </c>
      <c r="W49" s="29">
        <v>40.17</v>
      </c>
      <c r="X49" s="30">
        <v>34.840000000000003</v>
      </c>
      <c r="Y49" s="29">
        <v>40.17</v>
      </c>
      <c r="Z49" s="30">
        <v>34.840000000000003</v>
      </c>
    </row>
    <row r="50" spans="6:27" ht="15.6" x14ac:dyDescent="0.3">
      <c r="F50" s="47" t="s">
        <v>66</v>
      </c>
      <c r="G50" s="12">
        <v>39.799999999999997</v>
      </c>
      <c r="H50" s="15">
        <v>34.5</v>
      </c>
      <c r="I50" s="48">
        <v>39.112999000000002</v>
      </c>
      <c r="J50" s="49">
        <v>34.820999</v>
      </c>
      <c r="K50" s="13">
        <v>0.443</v>
      </c>
      <c r="L50" s="13">
        <v>0.65100000000000002</v>
      </c>
      <c r="M50" s="13">
        <v>102.46</v>
      </c>
      <c r="N50" s="49">
        <v>85.501000000000005</v>
      </c>
      <c r="O50" s="52">
        <v>153.559</v>
      </c>
      <c r="T50" s="47" t="s">
        <v>66</v>
      </c>
      <c r="U50" s="12">
        <v>40.021000000000001</v>
      </c>
      <c r="V50" s="14">
        <v>34.618000000000002</v>
      </c>
      <c r="W50" s="29">
        <v>39.68</v>
      </c>
      <c r="X50" s="30">
        <v>35.479999999999997</v>
      </c>
      <c r="Y50" s="29">
        <v>40.380000000000003</v>
      </c>
      <c r="Z50" s="30">
        <v>35.520000000000003</v>
      </c>
    </row>
    <row r="51" spans="6:27" ht="15.6" x14ac:dyDescent="0.3">
      <c r="F51" s="47" t="s">
        <v>67</v>
      </c>
      <c r="G51" s="12">
        <v>40</v>
      </c>
      <c r="H51" s="15">
        <v>34</v>
      </c>
      <c r="I51" s="48">
        <v>39.327998999999998</v>
      </c>
      <c r="J51" s="49">
        <v>34.623001000000002</v>
      </c>
      <c r="K51" s="13">
        <v>0.42299999999999999</v>
      </c>
      <c r="L51" s="13">
        <v>0.73899999999999999</v>
      </c>
      <c r="M51" s="13">
        <v>59.5</v>
      </c>
      <c r="N51" s="49">
        <v>71.242999999999995</v>
      </c>
      <c r="O51" s="52">
        <v>73.894000000000005</v>
      </c>
      <c r="T51" s="47" t="s">
        <v>67</v>
      </c>
      <c r="U51" s="12">
        <v>39.610999999999997</v>
      </c>
      <c r="V51" s="14">
        <v>35.198999999999998</v>
      </c>
      <c r="W51" s="29">
        <v>39.65</v>
      </c>
      <c r="X51" s="30">
        <v>33.92</v>
      </c>
      <c r="Y51" s="29">
        <v>39.33</v>
      </c>
      <c r="Z51" s="30">
        <v>33.78</v>
      </c>
    </row>
    <row r="52" spans="6:27" ht="15.6" x14ac:dyDescent="0.3">
      <c r="F52" s="47" t="s">
        <v>68</v>
      </c>
      <c r="G52" s="12">
        <v>38.4</v>
      </c>
      <c r="H52" s="15">
        <v>34</v>
      </c>
      <c r="I52" s="48">
        <v>39.610999999999997</v>
      </c>
      <c r="J52" s="49">
        <v>34.373001000000002</v>
      </c>
      <c r="K52" s="13">
        <v>0.46600000000000003</v>
      </c>
      <c r="L52" s="13">
        <v>0.60599999999999998</v>
      </c>
      <c r="M52" s="13">
        <v>50.77</v>
      </c>
      <c r="N52" s="49">
        <v>54.545000000000002</v>
      </c>
      <c r="O52" s="52">
        <v>108.895</v>
      </c>
      <c r="T52" s="47" t="s">
        <v>68</v>
      </c>
      <c r="U52" s="12">
        <v>39.156999999999996</v>
      </c>
      <c r="V52" s="14">
        <v>34.311</v>
      </c>
      <c r="W52" s="29">
        <v>39.15</v>
      </c>
      <c r="X52" s="30">
        <v>34.159999999999997</v>
      </c>
      <c r="Y52" s="29">
        <v>38.700000000000003</v>
      </c>
      <c r="Z52" s="30">
        <v>34.83</v>
      </c>
    </row>
    <row r="53" spans="6:27" ht="16.2" thickBot="1" x14ac:dyDescent="0.35">
      <c r="F53" s="50" t="s">
        <v>69</v>
      </c>
      <c r="G53" s="63">
        <v>38.81</v>
      </c>
      <c r="H53" s="64">
        <v>37.86</v>
      </c>
      <c r="I53" s="53">
        <v>39.422001000000002</v>
      </c>
      <c r="J53" s="54">
        <v>34.484000999999999</v>
      </c>
      <c r="K53" s="55">
        <v>0.21299999999999999</v>
      </c>
      <c r="L53" s="55">
        <v>0.36399999999999999</v>
      </c>
      <c r="M53" s="55">
        <v>303.99</v>
      </c>
      <c r="N53" s="54">
        <v>405.42700000000002</v>
      </c>
      <c r="O53" s="56">
        <v>387.70600000000002</v>
      </c>
      <c r="T53" s="50" t="s">
        <v>69</v>
      </c>
      <c r="U53" s="16">
        <v>38.805</v>
      </c>
      <c r="V53" s="18">
        <v>37.862000000000002</v>
      </c>
      <c r="W53" s="31">
        <v>37.79</v>
      </c>
      <c r="X53" s="32">
        <v>38.619999999999997</v>
      </c>
      <c r="Y53" s="31">
        <v>38.049999999999997</v>
      </c>
      <c r="Z53" s="32">
        <v>38.549999999999997</v>
      </c>
      <c r="AA53" s="51"/>
    </row>
    <row r="54" spans="6:27" ht="16.2" thickBot="1" x14ac:dyDescent="0.35">
      <c r="F54" s="65"/>
      <c r="G54" s="71" t="s">
        <v>282</v>
      </c>
      <c r="H54" s="72"/>
      <c r="I54" s="72"/>
      <c r="J54" s="72"/>
      <c r="K54" s="72"/>
      <c r="L54" s="73"/>
      <c r="M54" s="66">
        <f>AVERAGE(M44:M53)</f>
        <v>134.673</v>
      </c>
      <c r="N54" s="67">
        <f>AVERAGE(N44:N53)</f>
        <v>161.70929999999998</v>
      </c>
      <c r="O54" s="68">
        <f>AVERAGE(O44:O53)</f>
        <v>157.43770000000001</v>
      </c>
      <c r="T54" s="51"/>
      <c r="W54" s="33"/>
      <c r="X54" s="33"/>
      <c r="Y54" s="33"/>
      <c r="Z54" s="33"/>
      <c r="AA54" s="51"/>
    </row>
    <row r="55" spans="6:27" ht="16.2" thickBot="1" x14ac:dyDescent="0.35">
      <c r="F55" s="59"/>
      <c r="G55" s="77" t="s">
        <v>18</v>
      </c>
      <c r="H55" s="78"/>
      <c r="I55" s="79" t="s">
        <v>72</v>
      </c>
      <c r="J55" s="80"/>
      <c r="K55" s="80"/>
      <c r="L55" s="80"/>
      <c r="M55" s="80"/>
      <c r="N55" s="80"/>
      <c r="O55" s="81"/>
      <c r="T55" s="69" t="s">
        <v>281</v>
      </c>
      <c r="U55" s="60"/>
      <c r="V55" s="60"/>
      <c r="W55" s="60"/>
      <c r="X55" s="60"/>
    </row>
    <row r="56" spans="6:27" ht="29.4" thickBot="1" x14ac:dyDescent="0.35">
      <c r="F56" s="35" t="s">
        <v>0</v>
      </c>
      <c r="G56" s="40" t="s">
        <v>22</v>
      </c>
      <c r="H56" s="41" t="s">
        <v>23</v>
      </c>
      <c r="I56" s="57" t="s">
        <v>26</v>
      </c>
      <c r="J56" s="58" t="s">
        <v>25</v>
      </c>
      <c r="K56" s="58" t="s">
        <v>28</v>
      </c>
      <c r="L56" s="58" t="s">
        <v>27</v>
      </c>
      <c r="M56" s="58" t="s">
        <v>59</v>
      </c>
      <c r="N56" s="61" t="s">
        <v>283</v>
      </c>
      <c r="O56" s="62" t="s">
        <v>284</v>
      </c>
      <c r="T56" s="9" t="s">
        <v>0</v>
      </c>
      <c r="U56" s="10" t="s">
        <v>277</v>
      </c>
      <c r="V56" s="10" t="s">
        <v>278</v>
      </c>
      <c r="W56" s="10" t="s">
        <v>279</v>
      </c>
      <c r="X56" s="44" t="s">
        <v>280</v>
      </c>
    </row>
    <row r="57" spans="6:27" ht="15.6" x14ac:dyDescent="0.3">
      <c r="F57" s="43" t="s">
        <v>60</v>
      </c>
      <c r="G57" s="9">
        <v>40.47</v>
      </c>
      <c r="H57" s="11">
        <v>35.65</v>
      </c>
      <c r="I57" s="12">
        <v>39.917000000000002</v>
      </c>
      <c r="J57" s="13">
        <v>34.292000000000002</v>
      </c>
      <c r="K57" s="13">
        <v>0.372</v>
      </c>
      <c r="L57" s="13">
        <v>0.83799999999999997</v>
      </c>
      <c r="M57" s="13">
        <v>134.01300000000001</v>
      </c>
      <c r="N57" s="13">
        <v>148.14599999999999</v>
      </c>
      <c r="O57" s="14">
        <v>85.596999999999994</v>
      </c>
      <c r="T57" s="12" t="s">
        <v>60</v>
      </c>
      <c r="U57" s="13">
        <v>40.47</v>
      </c>
      <c r="V57" s="13">
        <v>2.5000000000000001E-2</v>
      </c>
      <c r="W57" s="13">
        <v>35.65</v>
      </c>
      <c r="X57" s="14">
        <v>0.44500000000000001</v>
      </c>
    </row>
    <row r="58" spans="6:27" ht="15.6" x14ac:dyDescent="0.3">
      <c r="F58" s="47" t="s">
        <v>61</v>
      </c>
      <c r="G58" s="12">
        <v>37.549999999999997</v>
      </c>
      <c r="H58" s="15">
        <v>38.479999999999997</v>
      </c>
      <c r="I58" s="12">
        <v>38.634998000000003</v>
      </c>
      <c r="J58" s="13">
        <v>36.467998999999999</v>
      </c>
      <c r="K58" s="13">
        <v>9.9000000000000005E-2</v>
      </c>
      <c r="L58" s="13">
        <v>0.40500000000000003</v>
      </c>
      <c r="M58" s="13">
        <v>139.702</v>
      </c>
      <c r="N58" s="13">
        <v>211.80699999999999</v>
      </c>
      <c r="O58" s="14">
        <v>211.80699999999999</v>
      </c>
      <c r="T58" s="12" t="s">
        <v>61</v>
      </c>
      <c r="U58" s="13">
        <v>38.429000000000002</v>
      </c>
      <c r="V58" s="13">
        <v>0.27400000000000002</v>
      </c>
      <c r="W58" s="13">
        <v>38.04</v>
      </c>
      <c r="X58" s="14">
        <v>0.51700000000000002</v>
      </c>
    </row>
    <row r="59" spans="6:27" ht="15.6" x14ac:dyDescent="0.3">
      <c r="F59" s="47" t="s">
        <v>62</v>
      </c>
      <c r="G59" s="12">
        <v>40</v>
      </c>
      <c r="H59" s="15">
        <v>36.5</v>
      </c>
      <c r="I59" s="12">
        <v>39.254002</v>
      </c>
      <c r="J59" s="13">
        <v>37.328999000000003</v>
      </c>
      <c r="K59" s="13">
        <v>0.22</v>
      </c>
      <c r="L59" s="13">
        <v>1.159</v>
      </c>
      <c r="M59" s="13">
        <v>176.83199999999999</v>
      </c>
      <c r="N59" s="13">
        <v>116.514</v>
      </c>
      <c r="O59" s="14">
        <v>172.16800000000001</v>
      </c>
      <c r="T59" s="12" t="s">
        <v>62</v>
      </c>
      <c r="U59" s="13">
        <v>40.712000000000003</v>
      </c>
      <c r="V59" s="13">
        <v>0.58199999999999996</v>
      </c>
      <c r="W59" s="13">
        <v>36.520000000000003</v>
      </c>
      <c r="X59" s="14">
        <v>0.51200000000000001</v>
      </c>
    </row>
    <row r="60" spans="6:27" ht="15.6" x14ac:dyDescent="0.3">
      <c r="F60" s="47" t="s">
        <v>63</v>
      </c>
      <c r="G60" s="12">
        <v>38.65</v>
      </c>
      <c r="H60" s="15">
        <v>34.799999999999997</v>
      </c>
      <c r="I60" s="12">
        <v>39.469002000000003</v>
      </c>
      <c r="J60" s="13">
        <v>33.867001000000002</v>
      </c>
      <c r="K60" s="13">
        <v>0.55800000000000005</v>
      </c>
      <c r="L60" s="13">
        <v>0.71899999999999997</v>
      </c>
      <c r="M60" s="13">
        <v>85.266000000000005</v>
      </c>
      <c r="N60" s="13">
        <v>63.972000000000001</v>
      </c>
      <c r="O60" s="14">
        <v>50.180999999999997</v>
      </c>
      <c r="T60" s="12" t="s">
        <v>63</v>
      </c>
      <c r="U60" s="13">
        <v>38.976999999999997</v>
      </c>
      <c r="V60" s="13">
        <v>0.77800000000000002</v>
      </c>
      <c r="W60" s="13">
        <v>34.613999999999997</v>
      </c>
      <c r="X60" s="14">
        <v>0.48199999999999998</v>
      </c>
    </row>
    <row r="61" spans="6:27" ht="15.6" x14ac:dyDescent="0.3">
      <c r="F61" s="47" t="s">
        <v>64</v>
      </c>
      <c r="G61" s="12">
        <v>38.6</v>
      </c>
      <c r="H61" s="15">
        <v>33.9</v>
      </c>
      <c r="I61" s="12">
        <v>39.158000999999999</v>
      </c>
      <c r="J61" s="13">
        <v>33.521999000000001</v>
      </c>
      <c r="K61" s="13">
        <v>0.255</v>
      </c>
      <c r="L61" s="13">
        <v>0.48299999999999998</v>
      </c>
      <c r="M61" s="13">
        <v>83.706000000000003</v>
      </c>
      <c r="N61" s="13">
        <v>197.19399999999999</v>
      </c>
      <c r="O61" s="14">
        <v>88.48</v>
      </c>
      <c r="T61" s="12" t="s">
        <v>64</v>
      </c>
      <c r="U61" s="13">
        <v>39.71</v>
      </c>
      <c r="V61" s="13">
        <v>1.54</v>
      </c>
      <c r="W61" s="13">
        <v>32.872</v>
      </c>
      <c r="X61" s="14">
        <v>0.66900000000000004</v>
      </c>
    </row>
    <row r="62" spans="6:27" ht="15.6" x14ac:dyDescent="0.3">
      <c r="F62" s="47" t="s">
        <v>65</v>
      </c>
      <c r="G62" s="12">
        <v>40.200000000000003</v>
      </c>
      <c r="H62" s="15">
        <v>35.1</v>
      </c>
      <c r="I62" s="12">
        <v>40.474997999999999</v>
      </c>
      <c r="J62" s="13">
        <v>35.487000000000002</v>
      </c>
      <c r="K62" s="13">
        <v>0.4</v>
      </c>
      <c r="L62" s="13">
        <v>0.47699999999999998</v>
      </c>
      <c r="M62" s="13">
        <v>79.251000000000005</v>
      </c>
      <c r="N62" s="13">
        <v>66.025000000000006</v>
      </c>
      <c r="O62" s="14">
        <v>66.025000000000006</v>
      </c>
      <c r="T62" s="12" t="s">
        <v>65</v>
      </c>
      <c r="U62" s="13">
        <v>39.956000000000003</v>
      </c>
      <c r="V62" s="13">
        <v>0.33300000000000002</v>
      </c>
      <c r="W62" s="13">
        <v>34.866</v>
      </c>
      <c r="X62" s="14">
        <v>0.16500000000000001</v>
      </c>
    </row>
    <row r="63" spans="6:27" ht="15.6" x14ac:dyDescent="0.3">
      <c r="F63" s="47" t="s">
        <v>66</v>
      </c>
      <c r="G63" s="12">
        <v>39.799999999999997</v>
      </c>
      <c r="H63" s="15">
        <v>34.5</v>
      </c>
      <c r="I63" s="12">
        <v>39.942000999999998</v>
      </c>
      <c r="J63" s="13">
        <v>34.698002000000002</v>
      </c>
      <c r="K63" s="13">
        <v>0.68200000000000005</v>
      </c>
      <c r="L63" s="13">
        <v>1.1930000000000001</v>
      </c>
      <c r="M63" s="13">
        <v>11.221</v>
      </c>
      <c r="N63" s="13">
        <v>74.481999999999999</v>
      </c>
      <c r="O63" s="14">
        <v>86.926000000000002</v>
      </c>
      <c r="T63" s="12" t="s">
        <v>66</v>
      </c>
      <c r="U63" s="13">
        <v>40.021000000000001</v>
      </c>
      <c r="V63" s="13">
        <v>1022.82</v>
      </c>
      <c r="W63" s="13">
        <v>34.618000000000002</v>
      </c>
      <c r="X63" s="14">
        <v>58.795999999999999</v>
      </c>
    </row>
    <row r="64" spans="6:27" ht="15.6" x14ac:dyDescent="0.3">
      <c r="F64" s="47" t="s">
        <v>67</v>
      </c>
      <c r="G64" s="12">
        <v>40</v>
      </c>
      <c r="H64" s="15">
        <v>34</v>
      </c>
      <c r="I64" s="12">
        <v>39.207999999999998</v>
      </c>
      <c r="J64" s="13">
        <v>35.498001000000002</v>
      </c>
      <c r="K64" s="13">
        <v>0.189</v>
      </c>
      <c r="L64" s="13">
        <v>1.0569999999999999</v>
      </c>
      <c r="M64" s="13">
        <v>51.838999999999999</v>
      </c>
      <c r="N64" s="13">
        <v>146.77600000000001</v>
      </c>
      <c r="O64" s="14">
        <v>151.21100000000001</v>
      </c>
      <c r="T64" s="12" t="s">
        <v>67</v>
      </c>
      <c r="U64" s="13">
        <v>39.610999999999997</v>
      </c>
      <c r="V64" s="13">
        <v>0.18</v>
      </c>
      <c r="W64" s="13">
        <v>35.198999999999998</v>
      </c>
      <c r="X64" s="14">
        <v>0.307</v>
      </c>
    </row>
    <row r="65" spans="6:24" ht="15.6" x14ac:dyDescent="0.3">
      <c r="F65" s="47" t="s">
        <v>68</v>
      </c>
      <c r="G65" s="12">
        <v>38.4</v>
      </c>
      <c r="H65" s="15">
        <v>34</v>
      </c>
      <c r="I65" s="12">
        <v>39.353999999999999</v>
      </c>
      <c r="J65" s="13">
        <v>34.112000000000002</v>
      </c>
      <c r="K65" s="13">
        <v>0.51800000000000002</v>
      </c>
      <c r="L65" s="13">
        <v>0.61</v>
      </c>
      <c r="M65" s="13">
        <v>27.998000000000001</v>
      </c>
      <c r="N65" s="13">
        <v>23.036999999999999</v>
      </c>
      <c r="O65" s="14">
        <v>96.150999999999996</v>
      </c>
      <c r="T65" s="12" t="s">
        <v>68</v>
      </c>
      <c r="U65" s="13">
        <v>39.156999999999996</v>
      </c>
      <c r="V65" s="13">
        <v>0.219</v>
      </c>
      <c r="W65" s="13">
        <v>34.311</v>
      </c>
      <c r="X65" s="14">
        <v>0.26500000000000001</v>
      </c>
    </row>
    <row r="66" spans="6:24" ht="16.2" thickBot="1" x14ac:dyDescent="0.35">
      <c r="F66" s="50" t="s">
        <v>69</v>
      </c>
      <c r="G66" s="16">
        <v>38.81</v>
      </c>
      <c r="H66" s="19">
        <v>37.86</v>
      </c>
      <c r="I66" s="16">
        <v>38.596001000000001</v>
      </c>
      <c r="J66" s="17">
        <v>36.044998</v>
      </c>
      <c r="K66" s="17">
        <v>0.10199999999999999</v>
      </c>
      <c r="L66" s="17">
        <v>0.23899999999999999</v>
      </c>
      <c r="M66" s="17">
        <v>161.00200000000001</v>
      </c>
      <c r="N66" s="17">
        <v>242.89500000000001</v>
      </c>
      <c r="O66" s="18">
        <v>227.86799999999999</v>
      </c>
      <c r="T66" s="16" t="s">
        <v>69</v>
      </c>
      <c r="U66" s="17">
        <v>38.805</v>
      </c>
      <c r="V66" s="17">
        <v>0.64800000000000002</v>
      </c>
      <c r="W66" s="17">
        <v>37.862000000000002</v>
      </c>
      <c r="X66" s="18">
        <v>1.1990000000000001</v>
      </c>
    </row>
    <row r="67" spans="6:24" ht="16.2" thickBot="1" x14ac:dyDescent="0.35">
      <c r="F67" s="65"/>
      <c r="G67" s="71" t="s">
        <v>282</v>
      </c>
      <c r="H67" s="72"/>
      <c r="I67" s="72"/>
      <c r="J67" s="72"/>
      <c r="K67" s="72"/>
      <c r="L67" s="73"/>
      <c r="M67" s="66">
        <f>AVERAGE(M57:M66)</f>
        <v>95.082999999999998</v>
      </c>
      <c r="N67" s="67">
        <f>AVERAGE(N57:N66)</f>
        <v>129.0848</v>
      </c>
      <c r="O67" s="68">
        <f>AVERAGE(O57:O66)</f>
        <v>123.6414</v>
      </c>
    </row>
    <row r="68" spans="6:24" ht="16.2" thickBot="1" x14ac:dyDescent="0.35">
      <c r="F68" s="59"/>
      <c r="G68" s="77" t="s">
        <v>18</v>
      </c>
      <c r="H68" s="78"/>
      <c r="I68" s="79" t="s">
        <v>90</v>
      </c>
      <c r="J68" s="80"/>
      <c r="K68" s="80"/>
      <c r="L68" s="80"/>
      <c r="M68" s="80"/>
      <c r="N68" s="80"/>
      <c r="O68" s="81"/>
    </row>
    <row r="69" spans="6:24" ht="29.4" thickBot="1" x14ac:dyDescent="0.35">
      <c r="F69" s="35" t="s">
        <v>0</v>
      </c>
      <c r="G69" s="40" t="s">
        <v>22</v>
      </c>
      <c r="H69" s="41" t="s">
        <v>23</v>
      </c>
      <c r="I69" s="57" t="s">
        <v>26</v>
      </c>
      <c r="J69" s="58" t="s">
        <v>25</v>
      </c>
      <c r="K69" s="58" t="s">
        <v>28</v>
      </c>
      <c r="L69" s="58" t="s">
        <v>27</v>
      </c>
      <c r="M69" s="58" t="s">
        <v>59</v>
      </c>
      <c r="N69" s="61" t="s">
        <v>283</v>
      </c>
      <c r="O69" s="62" t="s">
        <v>284</v>
      </c>
    </row>
    <row r="70" spans="6:24" ht="15.6" x14ac:dyDescent="0.3">
      <c r="F70" s="43" t="s">
        <v>60</v>
      </c>
      <c r="G70" s="9">
        <v>40.47</v>
      </c>
      <c r="H70" s="11">
        <v>35.65</v>
      </c>
      <c r="I70" s="12">
        <v>39.661000000000001</v>
      </c>
      <c r="J70" s="13">
        <v>34.735999999999997</v>
      </c>
      <c r="K70" s="13">
        <v>0.5</v>
      </c>
      <c r="L70" s="13">
        <v>0.52400000000000002</v>
      </c>
      <c r="M70" s="13">
        <v>120.46</v>
      </c>
      <c r="N70" s="13">
        <v>149.624</v>
      </c>
      <c r="O70" s="14">
        <v>115.83</v>
      </c>
    </row>
    <row r="71" spans="6:24" ht="15.6" x14ac:dyDescent="0.3">
      <c r="F71" s="47" t="s">
        <v>61</v>
      </c>
      <c r="G71" s="12">
        <v>37.549999999999997</v>
      </c>
      <c r="H71" s="15">
        <v>38.479999999999997</v>
      </c>
      <c r="I71" s="12">
        <v>39.396000000000001</v>
      </c>
      <c r="J71" s="13">
        <v>35.716999999999999</v>
      </c>
      <c r="K71" s="13">
        <v>0.44700000000000001</v>
      </c>
      <c r="L71" s="13">
        <v>0.40200000000000002</v>
      </c>
      <c r="M71" s="13">
        <v>230.26</v>
      </c>
      <c r="N71" s="13">
        <v>315.27300000000002</v>
      </c>
      <c r="O71" s="14">
        <v>315.27300000000002</v>
      </c>
    </row>
    <row r="72" spans="6:24" ht="15.6" x14ac:dyDescent="0.3">
      <c r="F72" s="47" t="s">
        <v>62</v>
      </c>
      <c r="G72" s="12">
        <v>40</v>
      </c>
      <c r="H72" s="15">
        <v>36.5</v>
      </c>
      <c r="I72" s="12">
        <v>39.121000000000002</v>
      </c>
      <c r="J72" s="13">
        <v>36.826000000000001</v>
      </c>
      <c r="K72" s="13">
        <v>0.77500000000000002</v>
      </c>
      <c r="L72" s="13">
        <v>0.84499999999999997</v>
      </c>
      <c r="M72" s="13">
        <v>178.76</v>
      </c>
      <c r="N72" s="13">
        <v>110.06100000000001</v>
      </c>
      <c r="O72" s="14">
        <v>155.01599999999999</v>
      </c>
    </row>
    <row r="73" spans="6:24" ht="15.6" x14ac:dyDescent="0.3">
      <c r="F73" s="47" t="s">
        <v>63</v>
      </c>
      <c r="G73" s="12">
        <v>38.65</v>
      </c>
      <c r="H73" s="15">
        <v>34.799999999999997</v>
      </c>
      <c r="I73" s="12">
        <v>39.076999999999998</v>
      </c>
      <c r="J73" s="13">
        <v>34.314999999999998</v>
      </c>
      <c r="K73" s="13">
        <v>1.2150000000000001</v>
      </c>
      <c r="L73" s="13">
        <v>1.266</v>
      </c>
      <c r="M73" s="13">
        <v>28.43</v>
      </c>
      <c r="N73" s="13">
        <v>68.581000000000003</v>
      </c>
      <c r="O73" s="14">
        <v>45.636000000000003</v>
      </c>
    </row>
    <row r="74" spans="6:24" ht="15.6" x14ac:dyDescent="0.3">
      <c r="F74" s="47" t="s">
        <v>64</v>
      </c>
      <c r="G74" s="12">
        <v>38.6</v>
      </c>
      <c r="H74" s="15">
        <v>33.9</v>
      </c>
      <c r="I74" s="12">
        <v>39.154000000000003</v>
      </c>
      <c r="J74" s="13">
        <v>34.243000000000002</v>
      </c>
      <c r="K74" s="13">
        <v>0.42299999999999999</v>
      </c>
      <c r="L74" s="13">
        <v>0.39200000000000002</v>
      </c>
      <c r="M74" s="13">
        <v>135.13</v>
      </c>
      <c r="N74" s="13">
        <v>254.87899999999999</v>
      </c>
      <c r="O74" s="14">
        <v>91.253</v>
      </c>
      <c r="T74" s="70"/>
      <c r="U74" s="70"/>
      <c r="V74" s="70"/>
      <c r="W74" s="70"/>
    </row>
    <row r="75" spans="6:24" ht="15.6" x14ac:dyDescent="0.3">
      <c r="F75" s="47" t="s">
        <v>65</v>
      </c>
      <c r="G75" s="12">
        <v>40.200000000000003</v>
      </c>
      <c r="H75" s="15">
        <v>35.1</v>
      </c>
      <c r="I75" s="12">
        <v>40.24</v>
      </c>
      <c r="J75" s="13">
        <v>35.682000000000002</v>
      </c>
      <c r="K75" s="13">
        <v>0.85099999999999998</v>
      </c>
      <c r="L75" s="13">
        <v>0.75800000000000001</v>
      </c>
      <c r="M75" s="13">
        <v>78.16</v>
      </c>
      <c r="N75" s="13">
        <v>74.2</v>
      </c>
      <c r="O75" s="14">
        <v>74.2</v>
      </c>
    </row>
    <row r="76" spans="6:24" ht="15.6" x14ac:dyDescent="0.3">
      <c r="F76" s="47" t="s">
        <v>66</v>
      </c>
      <c r="G76" s="12">
        <v>39.799999999999997</v>
      </c>
      <c r="H76" s="15">
        <v>34.5</v>
      </c>
      <c r="I76" s="12">
        <v>39.1</v>
      </c>
      <c r="J76" s="13">
        <v>35.51</v>
      </c>
      <c r="K76" s="13">
        <v>1.823</v>
      </c>
      <c r="L76" s="13">
        <v>1.762</v>
      </c>
      <c r="M76" s="13">
        <v>128.82</v>
      </c>
      <c r="N76" s="13">
        <v>64.519000000000005</v>
      </c>
      <c r="O76" s="14">
        <v>142.24600000000001</v>
      </c>
    </row>
    <row r="77" spans="6:24" ht="15.6" x14ac:dyDescent="0.3">
      <c r="F77" s="47" t="s">
        <v>67</v>
      </c>
      <c r="G77" s="12">
        <v>40</v>
      </c>
      <c r="H77" s="15">
        <v>34</v>
      </c>
      <c r="I77" s="12">
        <v>39.073999999999998</v>
      </c>
      <c r="J77" s="13">
        <v>35.107999999999997</v>
      </c>
      <c r="K77" s="13">
        <v>0.434</v>
      </c>
      <c r="L77" s="13">
        <v>0.55000000000000004</v>
      </c>
      <c r="M77" s="13">
        <v>60.22</v>
      </c>
      <c r="N77" s="13">
        <v>122.246</v>
      </c>
      <c r="O77" s="14">
        <v>119.84699999999999</v>
      </c>
    </row>
    <row r="78" spans="6:24" ht="15.6" x14ac:dyDescent="0.3">
      <c r="F78" s="47" t="s">
        <v>68</v>
      </c>
      <c r="G78" s="12">
        <v>38.4</v>
      </c>
      <c r="H78" s="15">
        <v>34</v>
      </c>
      <c r="I78" s="12">
        <v>39.15</v>
      </c>
      <c r="J78" s="13">
        <v>34.78</v>
      </c>
      <c r="K78" s="13">
        <v>0.90400000000000003</v>
      </c>
      <c r="L78" s="13">
        <v>0.88500000000000001</v>
      </c>
      <c r="M78" s="13">
        <v>41.17</v>
      </c>
      <c r="N78" s="13">
        <v>54.396000000000001</v>
      </c>
      <c r="O78" s="14">
        <v>50.151000000000003</v>
      </c>
    </row>
    <row r="79" spans="6:24" ht="16.2" thickBot="1" x14ac:dyDescent="0.35">
      <c r="F79" s="50" t="s">
        <v>69</v>
      </c>
      <c r="G79" s="16">
        <v>38.81</v>
      </c>
      <c r="H79" s="19">
        <v>37.86</v>
      </c>
      <c r="I79" s="16">
        <v>39.277999999999999</v>
      </c>
      <c r="J79" s="17">
        <v>35.082000000000001</v>
      </c>
      <c r="K79" s="17">
        <v>0.44800000000000001</v>
      </c>
      <c r="L79" s="17">
        <v>0.46100000000000002</v>
      </c>
      <c r="M79" s="17">
        <v>249.33</v>
      </c>
      <c r="N79" s="17">
        <v>351.488</v>
      </c>
      <c r="O79" s="18">
        <v>333.25299999999999</v>
      </c>
    </row>
    <row r="80" spans="6:24" ht="15" thickBot="1" x14ac:dyDescent="0.35">
      <c r="F80" s="59"/>
      <c r="G80" s="71" t="s">
        <v>282</v>
      </c>
      <c r="H80" s="72"/>
      <c r="I80" s="72"/>
      <c r="J80" s="72"/>
      <c r="K80" s="72"/>
      <c r="L80" s="73"/>
      <c r="M80" s="66">
        <f>AVERAGE(M70:M79)</f>
        <v>125.074</v>
      </c>
      <c r="N80" s="67">
        <f>AVERAGE(N70:N79)</f>
        <v>156.52670000000003</v>
      </c>
      <c r="O80" s="68">
        <f>AVERAGE(O70:O79)</f>
        <v>144.27050000000003</v>
      </c>
    </row>
    <row r="102" spans="7:7" x14ac:dyDescent="0.3">
      <c r="G102" t="s">
        <v>286</v>
      </c>
    </row>
    <row r="103" spans="7:7" x14ac:dyDescent="0.3">
      <c r="G103" t="s">
        <v>287</v>
      </c>
    </row>
    <row r="104" spans="7:7" x14ac:dyDescent="0.3">
      <c r="G104" t="s">
        <v>288</v>
      </c>
    </row>
  </sheetData>
  <sortState xmlns:xlrd2="http://schemas.microsoft.com/office/spreadsheetml/2017/richdata2" ref="T68:Y82">
    <sortCondition ref="T68:T82"/>
  </sortState>
  <mergeCells count="26">
    <mergeCell ref="X21:AB21"/>
    <mergeCell ref="U42:V42"/>
    <mergeCell ref="W42:X42"/>
    <mergeCell ref="F1:AB1"/>
    <mergeCell ref="I20:AB20"/>
    <mergeCell ref="G41:O41"/>
    <mergeCell ref="U41:Z41"/>
    <mergeCell ref="I42:O42"/>
    <mergeCell ref="Y42:Z42"/>
    <mergeCell ref="F2:H2"/>
    <mergeCell ref="I2:M2"/>
    <mergeCell ref="N2:R2"/>
    <mergeCell ref="S2:W2"/>
    <mergeCell ref="X2:AB2"/>
    <mergeCell ref="I21:M21"/>
    <mergeCell ref="N21:R21"/>
    <mergeCell ref="T74:W74"/>
    <mergeCell ref="G54:L54"/>
    <mergeCell ref="G67:L67"/>
    <mergeCell ref="G80:L80"/>
    <mergeCell ref="S21:W21"/>
    <mergeCell ref="G68:H68"/>
    <mergeCell ref="I68:O68"/>
    <mergeCell ref="I55:O55"/>
    <mergeCell ref="G55:H55"/>
    <mergeCell ref="G42:H42"/>
  </mergeCells>
  <conditionalFormatting sqref="H4:H18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4:M18 H4:H18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23:M37 R23:R3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80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67:O67 M54:O54 M80:O80">
    <cfRule type="colorScale" priority="1">
      <colorScale>
        <cfvo type="min"/>
        <cfvo type="max"/>
        <color rgb="FF63BE7B"/>
        <color rgb="FFFCFCFF"/>
      </colorScale>
    </cfRule>
  </conditionalFormatting>
  <conditionalFormatting sqref="M70:O79 M44:O54 M57:O6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8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8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4:R18 M4:M18 H4:H18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44:R54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4:W18 R4:R18 M4:M18 H4:H18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23:W37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18 W4:W18 R4:R18 M4:M18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23:AB37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9FD2-BA23-4EB4-8FB4-468F1D498087}">
  <dimension ref="B5:R314"/>
  <sheetViews>
    <sheetView tabSelected="1" topLeftCell="A70" workbookViewId="0">
      <selection activeCell="J48" sqref="J48"/>
    </sheetView>
  </sheetViews>
  <sheetFormatPr defaultRowHeight="14.4" x14ac:dyDescent="0.3"/>
  <sheetData>
    <row r="5" spans="2:18" x14ac:dyDescent="0.3">
      <c r="B5" s="70" t="s">
        <v>91</v>
      </c>
      <c r="C5" s="70"/>
      <c r="D5" s="70"/>
      <c r="E5" s="70"/>
      <c r="F5" s="70"/>
      <c r="G5" s="70"/>
      <c r="H5" s="70"/>
      <c r="K5" s="70" t="s">
        <v>92</v>
      </c>
      <c r="L5" s="70"/>
      <c r="M5" s="70"/>
      <c r="N5" s="70"/>
      <c r="O5" s="70"/>
      <c r="P5" s="70"/>
      <c r="Q5" s="70"/>
      <c r="R5" s="70"/>
    </row>
    <row r="7" spans="2:18" x14ac:dyDescent="0.3">
      <c r="B7" t="s">
        <v>289</v>
      </c>
      <c r="K7" t="s">
        <v>73</v>
      </c>
    </row>
    <row r="8" spans="2:18" x14ac:dyDescent="0.3"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K8" t="s">
        <v>74</v>
      </c>
      <c r="L8" t="s">
        <v>75</v>
      </c>
      <c r="M8" t="s">
        <v>76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</row>
    <row r="9" spans="2:18" x14ac:dyDescent="0.3">
      <c r="B9">
        <v>40.350999999999999</v>
      </c>
      <c r="C9">
        <v>34.012</v>
      </c>
      <c r="D9">
        <v>583</v>
      </c>
      <c r="E9">
        <v>7.2999999999999995E-2</v>
      </c>
      <c r="F9">
        <v>1.637</v>
      </c>
      <c r="G9">
        <v>22.244</v>
      </c>
      <c r="H9">
        <v>54.194000000000003</v>
      </c>
      <c r="I9">
        <v>288</v>
      </c>
      <c r="K9">
        <v>39.01</v>
      </c>
      <c r="L9">
        <v>34.83</v>
      </c>
      <c r="M9">
        <v>1178</v>
      </c>
      <c r="N9">
        <v>0.18</v>
      </c>
      <c r="O9">
        <v>21.454000000000001</v>
      </c>
      <c r="P9">
        <v>7.5330000000000004</v>
      </c>
      <c r="Q9">
        <v>72.748000000000005</v>
      </c>
      <c r="R9">
        <v>160.5</v>
      </c>
    </row>
    <row r="10" spans="2:18" x14ac:dyDescent="0.3">
      <c r="B10">
        <v>40.412999999999997</v>
      </c>
      <c r="C10">
        <v>34.012</v>
      </c>
      <c r="D10">
        <v>583</v>
      </c>
      <c r="E10">
        <v>7.2999999999999995E-2</v>
      </c>
      <c r="F10">
        <v>1.7270000000000001</v>
      </c>
      <c r="G10">
        <v>24.614999999999998</v>
      </c>
      <c r="H10">
        <v>60.427</v>
      </c>
      <c r="I10">
        <v>330</v>
      </c>
      <c r="K10">
        <v>39.804000000000002</v>
      </c>
      <c r="L10">
        <v>35.036000000000001</v>
      </c>
      <c r="M10">
        <v>1189</v>
      </c>
      <c r="N10">
        <v>0.40200000000000002</v>
      </c>
      <c r="O10">
        <v>44.823</v>
      </c>
      <c r="P10">
        <v>5.6589999999999998</v>
      </c>
      <c r="Q10">
        <v>30.69</v>
      </c>
      <c r="R10">
        <v>173.5</v>
      </c>
    </row>
    <row r="11" spans="2:18" x14ac:dyDescent="0.3">
      <c r="B11">
        <v>40.226999999999997</v>
      </c>
      <c r="C11">
        <v>34.012</v>
      </c>
      <c r="D11">
        <v>666</v>
      </c>
      <c r="E11">
        <v>0.14000000000000001</v>
      </c>
      <c r="F11">
        <v>11.451000000000001</v>
      </c>
      <c r="G11">
        <v>23.63</v>
      </c>
      <c r="H11">
        <v>42.354999999999997</v>
      </c>
      <c r="I11">
        <v>349.5</v>
      </c>
      <c r="K11">
        <v>39.375</v>
      </c>
      <c r="L11">
        <v>34.137</v>
      </c>
      <c r="M11">
        <v>1238</v>
      </c>
      <c r="N11">
        <v>0.35199999999999998</v>
      </c>
      <c r="O11">
        <v>29.041</v>
      </c>
      <c r="P11">
        <v>7.8650000000000002</v>
      </c>
      <c r="Q11">
        <v>61.378999999999998</v>
      </c>
      <c r="R11">
        <v>174.5</v>
      </c>
    </row>
    <row r="12" spans="2:18" x14ac:dyDescent="0.3">
      <c r="B12">
        <v>40.164999999999999</v>
      </c>
      <c r="C12">
        <v>34.152000000000001</v>
      </c>
      <c r="D12">
        <v>677</v>
      </c>
      <c r="E12">
        <v>0.184</v>
      </c>
      <c r="F12">
        <v>22.074000000000002</v>
      </c>
      <c r="G12">
        <v>18.690000000000001</v>
      </c>
      <c r="H12">
        <v>30.213999999999999</v>
      </c>
      <c r="I12">
        <v>352</v>
      </c>
      <c r="K12">
        <v>39.945999999999998</v>
      </c>
      <c r="L12">
        <v>35.185000000000002</v>
      </c>
      <c r="M12">
        <v>1357</v>
      </c>
      <c r="N12">
        <v>0.106</v>
      </c>
      <c r="O12">
        <v>27.056000000000001</v>
      </c>
      <c r="P12">
        <v>17.914999999999999</v>
      </c>
      <c r="Q12">
        <v>50.604999999999997</v>
      </c>
      <c r="R12">
        <v>184.5</v>
      </c>
    </row>
    <row r="13" spans="2:18" x14ac:dyDescent="0.3">
      <c r="B13">
        <v>40.226999999999997</v>
      </c>
      <c r="C13">
        <v>34.152000000000001</v>
      </c>
      <c r="D13">
        <v>649</v>
      </c>
      <c r="E13">
        <v>0.57499999999999996</v>
      </c>
      <c r="F13">
        <v>18.027000000000001</v>
      </c>
      <c r="G13">
        <v>13.215999999999999</v>
      </c>
      <c r="H13">
        <v>36.627000000000002</v>
      </c>
      <c r="I13">
        <v>357.5</v>
      </c>
      <c r="K13">
        <v>39.661000000000001</v>
      </c>
      <c r="L13">
        <v>35.185000000000002</v>
      </c>
      <c r="M13">
        <v>1127</v>
      </c>
      <c r="N13">
        <v>0.55900000000000005</v>
      </c>
      <c r="O13">
        <v>41.259</v>
      </c>
      <c r="P13">
        <v>4.5270000000000001</v>
      </c>
      <c r="Q13">
        <v>39.386000000000003</v>
      </c>
      <c r="R13">
        <v>188.5</v>
      </c>
    </row>
    <row r="14" spans="2:18" x14ac:dyDescent="0.3">
      <c r="B14">
        <v>40.350999999999999</v>
      </c>
      <c r="C14">
        <v>34.152000000000001</v>
      </c>
      <c r="D14">
        <v>574</v>
      </c>
      <c r="E14">
        <v>0.751</v>
      </c>
      <c r="F14">
        <v>10.914999999999999</v>
      </c>
      <c r="G14">
        <v>10.54</v>
      </c>
      <c r="H14">
        <v>49.845999999999997</v>
      </c>
      <c r="I14">
        <v>389</v>
      </c>
      <c r="K14">
        <v>40.088999999999999</v>
      </c>
      <c r="L14">
        <v>34.886000000000003</v>
      </c>
      <c r="M14">
        <v>969</v>
      </c>
      <c r="N14">
        <v>0.26200000000000001</v>
      </c>
      <c r="O14">
        <v>40.726999999999997</v>
      </c>
      <c r="P14">
        <v>11.065</v>
      </c>
      <c r="Q14">
        <v>49.436</v>
      </c>
      <c r="R14">
        <v>192.5</v>
      </c>
    </row>
    <row r="15" spans="2:18" x14ac:dyDescent="0.3">
      <c r="B15">
        <v>40.164999999999999</v>
      </c>
      <c r="C15">
        <v>34.012</v>
      </c>
      <c r="D15">
        <v>674</v>
      </c>
      <c r="E15">
        <v>5.5E-2</v>
      </c>
      <c r="F15">
        <v>16.565000000000001</v>
      </c>
      <c r="G15">
        <v>27.074999999999999</v>
      </c>
      <c r="H15">
        <v>36.948999999999998</v>
      </c>
      <c r="I15">
        <v>393</v>
      </c>
      <c r="K15">
        <v>39.088999999999999</v>
      </c>
      <c r="L15">
        <v>34.886000000000003</v>
      </c>
      <c r="M15">
        <v>1159</v>
      </c>
      <c r="N15">
        <v>0.313</v>
      </c>
      <c r="O15">
        <v>29.56</v>
      </c>
      <c r="P15">
        <v>10.012</v>
      </c>
      <c r="Q15">
        <v>64.89</v>
      </c>
      <c r="R15">
        <v>193.5</v>
      </c>
    </row>
    <row r="16" spans="2:18" x14ac:dyDescent="0.3">
      <c r="B16">
        <v>40.289000000000001</v>
      </c>
      <c r="C16">
        <v>34.152000000000001</v>
      </c>
      <c r="D16">
        <v>581</v>
      </c>
      <c r="E16">
        <v>0.76200000000000001</v>
      </c>
      <c r="F16">
        <v>14.355</v>
      </c>
      <c r="G16">
        <v>9.7590000000000003</v>
      </c>
      <c r="H16">
        <v>43.191000000000003</v>
      </c>
      <c r="I16">
        <v>397.5</v>
      </c>
      <c r="K16">
        <v>39.375</v>
      </c>
      <c r="L16">
        <v>33.987000000000002</v>
      </c>
      <c r="M16">
        <v>1215</v>
      </c>
      <c r="N16">
        <v>0.22900000000000001</v>
      </c>
      <c r="O16">
        <v>24.709</v>
      </c>
      <c r="P16">
        <v>10.131</v>
      </c>
      <c r="Q16">
        <v>72.929000000000002</v>
      </c>
      <c r="R16">
        <v>194.5</v>
      </c>
    </row>
    <row r="17" spans="2:18" x14ac:dyDescent="0.3">
      <c r="B17">
        <v>40.226999999999997</v>
      </c>
      <c r="C17">
        <v>34.292000000000002</v>
      </c>
      <c r="D17">
        <v>802</v>
      </c>
      <c r="E17">
        <v>0.67500000000000004</v>
      </c>
      <c r="F17">
        <v>23.146999999999998</v>
      </c>
      <c r="G17">
        <v>9.6199999999999992</v>
      </c>
      <c r="H17">
        <v>34.506999999999998</v>
      </c>
      <c r="I17">
        <v>408.5</v>
      </c>
      <c r="K17">
        <v>40.231999999999999</v>
      </c>
      <c r="L17">
        <v>34.585999999999999</v>
      </c>
      <c r="M17">
        <v>1158</v>
      </c>
      <c r="N17">
        <v>0.28299999999999997</v>
      </c>
      <c r="O17">
        <v>33.493000000000002</v>
      </c>
      <c r="P17">
        <v>8.2119999999999997</v>
      </c>
      <c r="Q17">
        <v>64.89</v>
      </c>
      <c r="R17">
        <v>195.5</v>
      </c>
    </row>
    <row r="18" spans="2:18" x14ac:dyDescent="0.3">
      <c r="B18">
        <v>40.412999999999997</v>
      </c>
      <c r="C18">
        <v>34.152000000000001</v>
      </c>
      <c r="D18">
        <v>574</v>
      </c>
      <c r="E18">
        <v>0.751</v>
      </c>
      <c r="F18">
        <v>5.9420000000000002</v>
      </c>
      <c r="G18">
        <v>14.906000000000001</v>
      </c>
      <c r="H18">
        <v>56.56</v>
      </c>
      <c r="I18">
        <v>414</v>
      </c>
      <c r="K18">
        <v>39.088999999999999</v>
      </c>
      <c r="L18">
        <v>34.585999999999999</v>
      </c>
      <c r="M18">
        <v>1138</v>
      </c>
      <c r="N18">
        <v>7.3999999999999996E-2</v>
      </c>
      <c r="O18">
        <v>23.385000000000002</v>
      </c>
      <c r="P18">
        <v>17.908000000000001</v>
      </c>
      <c r="Q18">
        <v>64.89</v>
      </c>
      <c r="R18">
        <v>196.5</v>
      </c>
    </row>
    <row r="19" spans="2:18" x14ac:dyDescent="0.3">
      <c r="B19" t="s">
        <v>290</v>
      </c>
      <c r="K19" t="s">
        <v>82</v>
      </c>
    </row>
    <row r="20" spans="2:18" x14ac:dyDescent="0.3">
      <c r="B20" t="s">
        <v>291</v>
      </c>
      <c r="K20" t="s">
        <v>93</v>
      </c>
    </row>
    <row r="21" spans="2:18" x14ac:dyDescent="0.3">
      <c r="B21" t="s">
        <v>292</v>
      </c>
      <c r="K21" t="s">
        <v>94</v>
      </c>
    </row>
    <row r="22" spans="2:18" x14ac:dyDescent="0.3">
      <c r="B22" t="s">
        <v>293</v>
      </c>
      <c r="K22" t="s">
        <v>95</v>
      </c>
    </row>
    <row r="23" spans="2:18" x14ac:dyDescent="0.3">
      <c r="B23" t="s">
        <v>294</v>
      </c>
      <c r="K23" t="s">
        <v>96</v>
      </c>
    </row>
    <row r="24" spans="2:18" x14ac:dyDescent="0.3">
      <c r="B24" t="s">
        <v>295</v>
      </c>
      <c r="K24" t="s">
        <v>97</v>
      </c>
    </row>
    <row r="25" spans="2:18" x14ac:dyDescent="0.3">
      <c r="B25" t="s">
        <v>296</v>
      </c>
      <c r="K25" t="s">
        <v>98</v>
      </c>
    </row>
    <row r="26" spans="2:18" x14ac:dyDescent="0.3">
      <c r="B26" t="s">
        <v>297</v>
      </c>
      <c r="K26" t="s">
        <v>99</v>
      </c>
    </row>
    <row r="27" spans="2:18" x14ac:dyDescent="0.3">
      <c r="B27" t="s">
        <v>298</v>
      </c>
      <c r="K27" t="s">
        <v>100</v>
      </c>
    </row>
    <row r="28" spans="2:18" x14ac:dyDescent="0.3">
      <c r="B28" t="s">
        <v>299</v>
      </c>
      <c r="K28" t="s">
        <v>101</v>
      </c>
    </row>
    <row r="29" spans="2:18" x14ac:dyDescent="0.3">
      <c r="B29" t="s">
        <v>300</v>
      </c>
      <c r="K29" t="s">
        <v>102</v>
      </c>
    </row>
    <row r="30" spans="2:18" x14ac:dyDescent="0.3">
      <c r="B30" t="s">
        <v>301</v>
      </c>
      <c r="K30" t="s">
        <v>103</v>
      </c>
    </row>
    <row r="31" spans="2:18" x14ac:dyDescent="0.3">
      <c r="K31" t="s">
        <v>104</v>
      </c>
    </row>
    <row r="32" spans="2:18" x14ac:dyDescent="0.3">
      <c r="K32" t="s">
        <v>105</v>
      </c>
    </row>
    <row r="33" spans="2:18" x14ac:dyDescent="0.3">
      <c r="B33" t="s">
        <v>302</v>
      </c>
    </row>
    <row r="34" spans="2:18" x14ac:dyDescent="0.3">
      <c r="B34" t="s">
        <v>74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80</v>
      </c>
      <c r="I34" t="s">
        <v>81</v>
      </c>
    </row>
    <row r="35" spans="2:18" x14ac:dyDescent="0.3">
      <c r="B35">
        <v>38.685000000000002</v>
      </c>
      <c r="C35">
        <v>36.468000000000004</v>
      </c>
      <c r="D35">
        <v>1680</v>
      </c>
      <c r="E35">
        <v>0.81100000000000005</v>
      </c>
      <c r="F35">
        <v>7.28</v>
      </c>
      <c r="G35">
        <v>24.047000000000001</v>
      </c>
      <c r="H35">
        <v>5.5119999999999996</v>
      </c>
      <c r="I35">
        <v>394.5</v>
      </c>
      <c r="K35" t="s">
        <v>106</v>
      </c>
    </row>
    <row r="36" spans="2:18" x14ac:dyDescent="0.3">
      <c r="B36">
        <v>38.667999999999999</v>
      </c>
      <c r="C36">
        <v>36.468000000000004</v>
      </c>
      <c r="D36">
        <v>1680</v>
      </c>
      <c r="E36">
        <v>0.81100000000000005</v>
      </c>
      <c r="F36">
        <v>8.5739999999999998</v>
      </c>
      <c r="G36">
        <v>22.222999999999999</v>
      </c>
      <c r="H36">
        <v>3.6749999999999998</v>
      </c>
      <c r="I36">
        <v>395.5</v>
      </c>
      <c r="K36" t="s">
        <v>74</v>
      </c>
      <c r="L36" t="s">
        <v>75</v>
      </c>
      <c r="M36" t="s">
        <v>76</v>
      </c>
      <c r="N36" t="s">
        <v>77</v>
      </c>
      <c r="O36" t="s">
        <v>78</v>
      </c>
      <c r="P36" t="s">
        <v>79</v>
      </c>
      <c r="Q36" t="s">
        <v>80</v>
      </c>
      <c r="R36" t="s">
        <v>81</v>
      </c>
    </row>
    <row r="37" spans="2:18" x14ac:dyDescent="0.3">
      <c r="B37">
        <v>38.569000000000003</v>
      </c>
      <c r="C37">
        <v>36.401000000000003</v>
      </c>
      <c r="D37">
        <v>1945</v>
      </c>
      <c r="E37">
        <v>0.79</v>
      </c>
      <c r="F37">
        <v>13.621</v>
      </c>
      <c r="G37">
        <v>14.054</v>
      </c>
      <c r="H37">
        <v>9.4450000000000003</v>
      </c>
      <c r="I37">
        <v>401.5</v>
      </c>
      <c r="K37">
        <v>39.012999999999998</v>
      </c>
      <c r="L37">
        <v>35.601999999999997</v>
      </c>
      <c r="M37">
        <v>1464</v>
      </c>
      <c r="N37">
        <v>0.41199999999999998</v>
      </c>
      <c r="O37">
        <v>2.2930000000000001</v>
      </c>
      <c r="P37">
        <v>37.015999999999998</v>
      </c>
      <c r="Q37">
        <v>43.767000000000003</v>
      </c>
      <c r="R37">
        <v>142.5</v>
      </c>
    </row>
    <row r="38" spans="2:18" x14ac:dyDescent="0.3">
      <c r="B38">
        <v>38.701999999999998</v>
      </c>
      <c r="C38">
        <v>36.468000000000004</v>
      </c>
      <c r="D38">
        <v>1680</v>
      </c>
      <c r="E38">
        <v>0.81100000000000005</v>
      </c>
      <c r="F38">
        <v>5.9850000000000003</v>
      </c>
      <c r="G38">
        <v>25.873000000000001</v>
      </c>
      <c r="H38">
        <v>7.35</v>
      </c>
      <c r="I38">
        <v>407.5</v>
      </c>
      <c r="K38">
        <v>39.140999999999998</v>
      </c>
      <c r="L38">
        <v>35.256999999999998</v>
      </c>
      <c r="M38">
        <v>1145</v>
      </c>
      <c r="N38">
        <v>0.441</v>
      </c>
      <c r="O38">
        <v>16.884</v>
      </c>
      <c r="P38">
        <v>4.0449999999999999</v>
      </c>
      <c r="Q38">
        <v>49.317</v>
      </c>
      <c r="R38">
        <v>152.5</v>
      </c>
    </row>
    <row r="39" spans="2:18" x14ac:dyDescent="0.3">
      <c r="B39">
        <v>38.552999999999997</v>
      </c>
      <c r="C39">
        <v>36.401000000000003</v>
      </c>
      <c r="D39">
        <v>1945</v>
      </c>
      <c r="E39">
        <v>0.79</v>
      </c>
      <c r="F39">
        <v>15.026</v>
      </c>
      <c r="G39">
        <v>12.664</v>
      </c>
      <c r="H39">
        <v>10.936</v>
      </c>
      <c r="I39">
        <v>415.5</v>
      </c>
      <c r="K39">
        <v>39.140999999999998</v>
      </c>
      <c r="L39">
        <v>35.487000000000002</v>
      </c>
      <c r="M39">
        <v>1276</v>
      </c>
      <c r="N39">
        <v>0.68899999999999995</v>
      </c>
      <c r="O39">
        <v>10.827</v>
      </c>
      <c r="P39">
        <v>22.795999999999999</v>
      </c>
      <c r="Q39">
        <v>34.823999999999998</v>
      </c>
      <c r="R39">
        <v>165.5</v>
      </c>
    </row>
    <row r="40" spans="2:18" x14ac:dyDescent="0.3">
      <c r="B40">
        <v>38.718000000000004</v>
      </c>
      <c r="C40">
        <v>36.468000000000004</v>
      </c>
      <c r="D40">
        <v>1680</v>
      </c>
      <c r="E40">
        <v>0.81100000000000005</v>
      </c>
      <c r="F40">
        <v>4.7190000000000003</v>
      </c>
      <c r="G40">
        <v>27.701000000000001</v>
      </c>
      <c r="H40">
        <v>9.1869999999999994</v>
      </c>
      <c r="I40">
        <v>416.5</v>
      </c>
      <c r="K40">
        <v>39.140999999999998</v>
      </c>
      <c r="L40">
        <v>35.601999999999997</v>
      </c>
      <c r="M40">
        <v>1526</v>
      </c>
      <c r="N40">
        <v>0.64600000000000002</v>
      </c>
      <c r="O40">
        <v>8.8940000000000001</v>
      </c>
      <c r="P40">
        <v>32.805</v>
      </c>
      <c r="Q40">
        <v>30.13</v>
      </c>
      <c r="R40">
        <v>167.5</v>
      </c>
    </row>
    <row r="41" spans="2:18" x14ac:dyDescent="0.3">
      <c r="B41">
        <v>38.750999999999998</v>
      </c>
      <c r="C41">
        <v>36.468000000000004</v>
      </c>
      <c r="D41">
        <v>1609</v>
      </c>
      <c r="E41">
        <v>0.76500000000000001</v>
      </c>
      <c r="F41">
        <v>2.7040000000000002</v>
      </c>
      <c r="G41">
        <v>31.36</v>
      </c>
      <c r="H41">
        <v>12.862</v>
      </c>
      <c r="I41">
        <v>424.5</v>
      </c>
      <c r="K41">
        <v>39.012999999999998</v>
      </c>
      <c r="L41">
        <v>35.487000000000002</v>
      </c>
      <c r="M41">
        <v>1340</v>
      </c>
      <c r="N41">
        <v>0.70899999999999996</v>
      </c>
      <c r="O41">
        <v>3.5779999999999998</v>
      </c>
      <c r="P41">
        <v>28.524000000000001</v>
      </c>
      <c r="Q41">
        <v>47.121000000000002</v>
      </c>
      <c r="R41">
        <v>169.5</v>
      </c>
    </row>
    <row r="42" spans="2:18" x14ac:dyDescent="0.3">
      <c r="B42">
        <v>38.734999999999999</v>
      </c>
      <c r="C42">
        <v>36.468000000000004</v>
      </c>
      <c r="D42">
        <v>1680</v>
      </c>
      <c r="E42">
        <v>0.81100000000000005</v>
      </c>
      <c r="F42">
        <v>3.593</v>
      </c>
      <c r="G42">
        <v>29.53</v>
      </c>
      <c r="H42">
        <v>11.025</v>
      </c>
      <c r="I42">
        <v>428.5</v>
      </c>
      <c r="K42">
        <v>39.140999999999998</v>
      </c>
      <c r="L42">
        <v>35.372</v>
      </c>
      <c r="M42">
        <v>1185</v>
      </c>
      <c r="N42">
        <v>0.71399999999999997</v>
      </c>
      <c r="O42">
        <v>14.491</v>
      </c>
      <c r="P42">
        <v>12.898999999999999</v>
      </c>
      <c r="Q42">
        <v>41.482999999999997</v>
      </c>
      <c r="R42">
        <v>172.5</v>
      </c>
    </row>
    <row r="43" spans="2:18" x14ac:dyDescent="0.3">
      <c r="B43">
        <v>38.536000000000001</v>
      </c>
      <c r="C43">
        <v>36.401000000000003</v>
      </c>
      <c r="D43">
        <v>1945</v>
      </c>
      <c r="E43">
        <v>0.79</v>
      </c>
      <c r="F43">
        <v>16.437999999999999</v>
      </c>
      <c r="G43">
        <v>11.401999999999999</v>
      </c>
      <c r="H43">
        <v>12.519</v>
      </c>
      <c r="I43">
        <v>444.5</v>
      </c>
      <c r="K43">
        <v>39.012999999999998</v>
      </c>
      <c r="L43">
        <v>35.372</v>
      </c>
      <c r="M43">
        <v>1331</v>
      </c>
      <c r="N43">
        <v>0.90600000000000003</v>
      </c>
      <c r="O43">
        <v>3.4060000000000001</v>
      </c>
      <c r="P43">
        <v>21.456</v>
      </c>
      <c r="Q43">
        <v>52.234999999999999</v>
      </c>
      <c r="R43">
        <v>183.5</v>
      </c>
    </row>
    <row r="44" spans="2:18" x14ac:dyDescent="0.3">
      <c r="B44">
        <v>38.768000000000001</v>
      </c>
      <c r="C44">
        <v>36.468000000000004</v>
      </c>
      <c r="D44">
        <v>1609</v>
      </c>
      <c r="E44">
        <v>0.76500000000000001</v>
      </c>
      <c r="F44">
        <v>1.8520000000000001</v>
      </c>
      <c r="G44">
        <v>33.19</v>
      </c>
      <c r="H44">
        <v>14.7</v>
      </c>
      <c r="I44">
        <v>448.5</v>
      </c>
      <c r="K44">
        <v>39.906999999999996</v>
      </c>
      <c r="L44">
        <v>35.716999999999999</v>
      </c>
      <c r="M44">
        <v>1094</v>
      </c>
      <c r="N44">
        <v>0.79400000000000004</v>
      </c>
      <c r="O44">
        <v>2.234</v>
      </c>
      <c r="P44">
        <v>29.367000000000001</v>
      </c>
      <c r="Q44">
        <v>56.786999999999999</v>
      </c>
      <c r="R44">
        <v>189.5</v>
      </c>
    </row>
    <row r="45" spans="2:18" x14ac:dyDescent="0.3">
      <c r="B45" t="s">
        <v>303</v>
      </c>
      <c r="K45">
        <v>40.034999999999997</v>
      </c>
      <c r="L45">
        <v>36.061999999999998</v>
      </c>
      <c r="M45">
        <v>1171</v>
      </c>
      <c r="N45">
        <v>0.32600000000000001</v>
      </c>
      <c r="O45">
        <v>3.298</v>
      </c>
      <c r="P45">
        <v>21.532</v>
      </c>
      <c r="Q45">
        <v>77.156999999999996</v>
      </c>
      <c r="R45">
        <v>190.5</v>
      </c>
    </row>
    <row r="46" spans="2:18" x14ac:dyDescent="0.3">
      <c r="B46" t="s">
        <v>304</v>
      </c>
      <c r="K46">
        <v>39.78</v>
      </c>
      <c r="L46">
        <v>35.832000000000001</v>
      </c>
      <c r="M46">
        <v>1084</v>
      </c>
      <c r="N46">
        <v>0.51900000000000002</v>
      </c>
      <c r="O46">
        <v>12.885</v>
      </c>
      <c r="P46">
        <v>41.19</v>
      </c>
      <c r="Q46">
        <v>43.767000000000003</v>
      </c>
      <c r="R46">
        <v>206.5</v>
      </c>
    </row>
    <row r="47" spans="2:18" x14ac:dyDescent="0.3">
      <c r="K47" t="s">
        <v>83</v>
      </c>
    </row>
    <row r="48" spans="2:18" x14ac:dyDescent="0.3">
      <c r="K48" t="s">
        <v>107</v>
      </c>
    </row>
    <row r="49" spans="2:18" x14ac:dyDescent="0.3">
      <c r="B49" t="s">
        <v>305</v>
      </c>
      <c r="K49" t="s">
        <v>108</v>
      </c>
    </row>
    <row r="50" spans="2:18" x14ac:dyDescent="0.3">
      <c r="B50" t="s">
        <v>74</v>
      </c>
      <c r="C50" t="s">
        <v>75</v>
      </c>
      <c r="D50" t="s">
        <v>76</v>
      </c>
      <c r="E50" t="s">
        <v>77</v>
      </c>
      <c r="F50" t="s">
        <v>78</v>
      </c>
      <c r="G50" t="s">
        <v>79</v>
      </c>
      <c r="H50" t="s">
        <v>80</v>
      </c>
      <c r="I50" t="s">
        <v>81</v>
      </c>
      <c r="K50" t="s">
        <v>109</v>
      </c>
    </row>
    <row r="51" spans="2:18" x14ac:dyDescent="0.3">
      <c r="B51">
        <v>38.923999999999999</v>
      </c>
      <c r="C51">
        <v>36.747999999999998</v>
      </c>
      <c r="D51">
        <v>1691</v>
      </c>
      <c r="E51">
        <v>0.17799999999999999</v>
      </c>
      <c r="F51">
        <v>0.59499999999999997</v>
      </c>
      <c r="G51">
        <v>54.911999999999999</v>
      </c>
      <c r="H51">
        <v>62.783000000000001</v>
      </c>
      <c r="I51">
        <v>238.5</v>
      </c>
      <c r="K51" t="s">
        <v>110</v>
      </c>
    </row>
    <row r="52" spans="2:18" x14ac:dyDescent="0.3">
      <c r="B52">
        <v>38.960999999999999</v>
      </c>
      <c r="C52">
        <v>36.747999999999998</v>
      </c>
      <c r="D52">
        <v>1691</v>
      </c>
      <c r="E52">
        <v>0.17799999999999999</v>
      </c>
      <c r="F52">
        <v>1.1930000000000001</v>
      </c>
      <c r="G52">
        <v>58.677999999999997</v>
      </c>
      <c r="H52">
        <v>60.491</v>
      </c>
      <c r="I52">
        <v>257.5</v>
      </c>
    </row>
    <row r="53" spans="2:18" x14ac:dyDescent="0.3">
      <c r="B53">
        <v>38.997</v>
      </c>
      <c r="C53">
        <v>36.747999999999998</v>
      </c>
      <c r="D53">
        <v>1691</v>
      </c>
      <c r="E53">
        <v>0.17799999999999999</v>
      </c>
      <c r="F53">
        <v>2.621</v>
      </c>
      <c r="G53">
        <v>62.484000000000002</v>
      </c>
      <c r="H53">
        <v>58.393000000000001</v>
      </c>
      <c r="I53">
        <v>286.5</v>
      </c>
    </row>
    <row r="54" spans="2:18" x14ac:dyDescent="0.3">
      <c r="B54">
        <v>38.85</v>
      </c>
      <c r="C54">
        <v>36.747999999999998</v>
      </c>
      <c r="D54">
        <v>1765</v>
      </c>
      <c r="E54">
        <v>0.70899999999999996</v>
      </c>
      <c r="F54">
        <v>1.637</v>
      </c>
      <c r="G54">
        <v>47.531999999999996</v>
      </c>
      <c r="H54">
        <v>67.872</v>
      </c>
      <c r="I54">
        <v>325</v>
      </c>
      <c r="K54" t="s">
        <v>111</v>
      </c>
    </row>
    <row r="55" spans="2:18" x14ac:dyDescent="0.3">
      <c r="B55">
        <v>38.887</v>
      </c>
      <c r="C55">
        <v>36.747999999999998</v>
      </c>
      <c r="D55">
        <v>1765</v>
      </c>
      <c r="E55">
        <v>0.70899999999999996</v>
      </c>
      <c r="F55">
        <v>0.63700000000000001</v>
      </c>
      <c r="G55">
        <v>51.192999999999998</v>
      </c>
      <c r="H55">
        <v>65.25</v>
      </c>
      <c r="I55">
        <v>326</v>
      </c>
      <c r="K55" t="s">
        <v>74</v>
      </c>
      <c r="L55" t="s">
        <v>75</v>
      </c>
      <c r="M55" t="s">
        <v>76</v>
      </c>
      <c r="N55" t="s">
        <v>77</v>
      </c>
      <c r="O55" t="s">
        <v>78</v>
      </c>
      <c r="P55" t="s">
        <v>79</v>
      </c>
      <c r="Q55" t="s">
        <v>80</v>
      </c>
      <c r="R55" t="s">
        <v>81</v>
      </c>
    </row>
    <row r="56" spans="2:18" x14ac:dyDescent="0.3">
      <c r="B56">
        <v>39.033999999999999</v>
      </c>
      <c r="C56">
        <v>36.747999999999998</v>
      </c>
      <c r="D56">
        <v>1684</v>
      </c>
      <c r="E56">
        <v>0.254</v>
      </c>
      <c r="F56">
        <v>4.8040000000000003</v>
      </c>
      <c r="G56">
        <v>66.322000000000003</v>
      </c>
      <c r="H56">
        <v>56.512999999999998</v>
      </c>
      <c r="I56">
        <v>339</v>
      </c>
      <c r="K56">
        <v>38.9</v>
      </c>
      <c r="L56">
        <v>36.585000000000001</v>
      </c>
      <c r="M56">
        <v>1741</v>
      </c>
      <c r="N56">
        <v>0.41599999999999998</v>
      </c>
      <c r="O56">
        <v>7.9329999999999998</v>
      </c>
      <c r="P56">
        <v>48.34</v>
      </c>
      <c r="Q56">
        <v>32.448999999999998</v>
      </c>
      <c r="R56">
        <v>127.5</v>
      </c>
    </row>
    <row r="57" spans="2:18" x14ac:dyDescent="0.3">
      <c r="B57">
        <v>38.997</v>
      </c>
      <c r="C57">
        <v>36.554000000000002</v>
      </c>
      <c r="D57">
        <v>1634</v>
      </c>
      <c r="E57">
        <v>0.47299999999999998</v>
      </c>
      <c r="F57">
        <v>1.6890000000000001</v>
      </c>
      <c r="G57">
        <v>58.776000000000003</v>
      </c>
      <c r="H57">
        <v>73.677000000000007</v>
      </c>
      <c r="I57">
        <v>357.5</v>
      </c>
      <c r="K57">
        <v>40.006999999999998</v>
      </c>
      <c r="L57">
        <v>36.101999999999997</v>
      </c>
      <c r="M57">
        <v>1195</v>
      </c>
      <c r="N57">
        <v>0.51500000000000001</v>
      </c>
      <c r="O57">
        <v>0.188</v>
      </c>
      <c r="P57">
        <v>21.379000000000001</v>
      </c>
      <c r="Q57">
        <v>117.107</v>
      </c>
      <c r="R57">
        <v>136.5</v>
      </c>
    </row>
    <row r="58" spans="2:18" x14ac:dyDescent="0.3">
      <c r="B58">
        <v>38.923999999999999</v>
      </c>
      <c r="C58">
        <v>36.554000000000002</v>
      </c>
      <c r="D58">
        <v>1634</v>
      </c>
      <c r="E58">
        <v>0.47299999999999998</v>
      </c>
      <c r="F58">
        <v>5.6040000000000001</v>
      </c>
      <c r="G58">
        <v>50.652000000000001</v>
      </c>
      <c r="H58">
        <v>77.203000000000003</v>
      </c>
      <c r="I58">
        <v>366.5</v>
      </c>
      <c r="K58">
        <v>40.006999999999998</v>
      </c>
      <c r="L58">
        <v>36.343000000000004</v>
      </c>
      <c r="M58">
        <v>1176</v>
      </c>
      <c r="N58">
        <v>0.65900000000000003</v>
      </c>
      <c r="O58">
        <v>4.3259999999999996</v>
      </c>
      <c r="P58">
        <v>15.414</v>
      </c>
      <c r="Q58">
        <v>107.126</v>
      </c>
      <c r="R58">
        <v>139.5</v>
      </c>
    </row>
    <row r="59" spans="2:18" x14ac:dyDescent="0.3">
      <c r="B59">
        <v>38.960999999999999</v>
      </c>
      <c r="C59">
        <v>36.554000000000002</v>
      </c>
      <c r="D59">
        <v>1634</v>
      </c>
      <c r="E59">
        <v>0.47299999999999998</v>
      </c>
      <c r="F59">
        <v>4.7409999999999997</v>
      </c>
      <c r="G59">
        <v>54.713000000000001</v>
      </c>
      <c r="H59">
        <v>75.349999999999994</v>
      </c>
      <c r="I59">
        <v>367.5</v>
      </c>
      <c r="K59">
        <v>38.677999999999997</v>
      </c>
      <c r="L59">
        <v>36.343000000000004</v>
      </c>
      <c r="M59">
        <v>1593</v>
      </c>
      <c r="N59">
        <v>1.4730000000000001</v>
      </c>
      <c r="O59">
        <v>3.1789999999999998</v>
      </c>
      <c r="P59">
        <v>26.93</v>
      </c>
      <c r="Q59">
        <v>64.897999999999996</v>
      </c>
      <c r="R59">
        <v>151.5</v>
      </c>
    </row>
    <row r="60" spans="2:18" x14ac:dyDescent="0.3">
      <c r="B60">
        <v>39.070999999999998</v>
      </c>
      <c r="C60">
        <v>36.747999999999998</v>
      </c>
      <c r="D60">
        <v>1684</v>
      </c>
      <c r="E60">
        <v>0.254</v>
      </c>
      <c r="F60">
        <v>7.431</v>
      </c>
      <c r="G60">
        <v>70.186000000000007</v>
      </c>
      <c r="H60">
        <v>54.871000000000002</v>
      </c>
      <c r="I60">
        <v>393</v>
      </c>
      <c r="K60">
        <v>38.9</v>
      </c>
      <c r="L60">
        <v>36.826000000000001</v>
      </c>
      <c r="M60">
        <v>1834</v>
      </c>
      <c r="N60">
        <v>0.93799999999999994</v>
      </c>
      <c r="O60">
        <v>5.819</v>
      </c>
      <c r="P60">
        <v>55.662999999999997</v>
      </c>
      <c r="Q60">
        <v>24.603999999999999</v>
      </c>
      <c r="R60">
        <v>153.5</v>
      </c>
    </row>
    <row r="61" spans="2:18" x14ac:dyDescent="0.3">
      <c r="B61" t="s">
        <v>303</v>
      </c>
      <c r="K61">
        <v>40.006999999999998</v>
      </c>
      <c r="L61">
        <v>36.585000000000001</v>
      </c>
      <c r="M61">
        <v>1606</v>
      </c>
      <c r="N61">
        <v>1.042</v>
      </c>
      <c r="O61">
        <v>9.1509999999999998</v>
      </c>
      <c r="P61">
        <v>10.196999999999999</v>
      </c>
      <c r="Q61">
        <v>100.663</v>
      </c>
      <c r="R61">
        <v>166.5</v>
      </c>
    </row>
    <row r="62" spans="2:18" x14ac:dyDescent="0.3">
      <c r="B62" t="s">
        <v>306</v>
      </c>
      <c r="K62">
        <v>39.121000000000002</v>
      </c>
      <c r="L62">
        <v>36.585000000000001</v>
      </c>
      <c r="M62">
        <v>1621</v>
      </c>
      <c r="N62">
        <v>0.29899999999999999</v>
      </c>
      <c r="O62">
        <v>9.3140000000000001</v>
      </c>
      <c r="P62">
        <v>72.75</v>
      </c>
      <c r="Q62">
        <v>21.157</v>
      </c>
      <c r="R62">
        <v>169.5</v>
      </c>
    </row>
    <row r="63" spans="2:18" x14ac:dyDescent="0.3">
      <c r="K63">
        <v>38.47</v>
      </c>
      <c r="L63">
        <v>36.5</v>
      </c>
      <c r="M63">
        <v>1819</v>
      </c>
      <c r="N63">
        <v>0.46400000000000002</v>
      </c>
      <c r="O63">
        <v>25.053999999999998</v>
      </c>
      <c r="P63">
        <v>19.608000000000001</v>
      </c>
      <c r="Q63">
        <v>77.808000000000007</v>
      </c>
      <c r="R63">
        <v>169.5</v>
      </c>
    </row>
    <row r="64" spans="2:18" x14ac:dyDescent="0.3">
      <c r="K64">
        <v>39.564</v>
      </c>
      <c r="L64">
        <v>36.826000000000001</v>
      </c>
      <c r="M64">
        <v>1486</v>
      </c>
      <c r="N64">
        <v>0.05</v>
      </c>
      <c r="O64">
        <v>14.188000000000001</v>
      </c>
      <c r="P64">
        <v>63.048999999999999</v>
      </c>
      <c r="Q64">
        <v>49.207000000000001</v>
      </c>
      <c r="R64">
        <v>174.5</v>
      </c>
    </row>
    <row r="65" spans="2:18" x14ac:dyDescent="0.3">
      <c r="B65" t="s">
        <v>307</v>
      </c>
      <c r="K65">
        <v>40.006999999999998</v>
      </c>
      <c r="L65">
        <v>35.860999999999997</v>
      </c>
      <c r="M65">
        <v>1358</v>
      </c>
      <c r="N65">
        <v>0.57899999999999996</v>
      </c>
      <c r="O65">
        <v>5.9379999999999997</v>
      </c>
      <c r="P65">
        <v>15.91</v>
      </c>
      <c r="Q65">
        <v>129.797</v>
      </c>
      <c r="R65">
        <v>175.5</v>
      </c>
    </row>
    <row r="66" spans="2:18" x14ac:dyDescent="0.3">
      <c r="B66" t="s">
        <v>74</v>
      </c>
      <c r="C66" t="s">
        <v>75</v>
      </c>
      <c r="D66" t="s">
        <v>76</v>
      </c>
      <c r="E66" t="s">
        <v>77</v>
      </c>
      <c r="F66" t="s">
        <v>78</v>
      </c>
      <c r="G66" t="s">
        <v>79</v>
      </c>
      <c r="H66" t="s">
        <v>80</v>
      </c>
      <c r="I66" t="s">
        <v>81</v>
      </c>
      <c r="K66" t="s">
        <v>112</v>
      </c>
    </row>
    <row r="67" spans="2:18" x14ac:dyDescent="0.3">
      <c r="B67">
        <v>39.375</v>
      </c>
      <c r="C67">
        <v>33.987000000000002</v>
      </c>
      <c r="D67">
        <v>1215</v>
      </c>
      <c r="E67">
        <v>0.22900000000000001</v>
      </c>
      <c r="F67">
        <v>24.766999999999999</v>
      </c>
      <c r="G67">
        <v>10.194000000000001</v>
      </c>
      <c r="H67">
        <v>14.768000000000001</v>
      </c>
      <c r="I67">
        <v>340.5</v>
      </c>
      <c r="K67" t="s">
        <v>113</v>
      </c>
    </row>
    <row r="68" spans="2:18" x14ac:dyDescent="0.3">
      <c r="B68">
        <v>39.375</v>
      </c>
      <c r="C68">
        <v>34.106999999999999</v>
      </c>
      <c r="D68">
        <v>1238</v>
      </c>
      <c r="E68">
        <v>0.35199999999999998</v>
      </c>
      <c r="F68">
        <v>28.303999999999998</v>
      </c>
      <c r="G68">
        <v>6.593</v>
      </c>
      <c r="H68">
        <v>23.463999999999999</v>
      </c>
      <c r="I68">
        <v>369.5</v>
      </c>
      <c r="K68" t="s">
        <v>114</v>
      </c>
    </row>
    <row r="69" spans="2:18" x14ac:dyDescent="0.3">
      <c r="B69">
        <v>39.002000000000002</v>
      </c>
      <c r="C69">
        <v>34.106999999999999</v>
      </c>
      <c r="D69">
        <v>928</v>
      </c>
      <c r="E69">
        <v>0.77700000000000002</v>
      </c>
      <c r="F69">
        <v>2.2469999999999999</v>
      </c>
      <c r="G69">
        <v>14.971</v>
      </c>
      <c r="H69">
        <v>55.902000000000001</v>
      </c>
      <c r="I69">
        <v>417.5</v>
      </c>
      <c r="K69" t="s">
        <v>115</v>
      </c>
    </row>
    <row r="70" spans="2:18" x14ac:dyDescent="0.3">
      <c r="B70">
        <v>39.002000000000002</v>
      </c>
      <c r="C70">
        <v>33.987000000000002</v>
      </c>
      <c r="D70">
        <v>896</v>
      </c>
      <c r="E70">
        <v>0.94099999999999995</v>
      </c>
      <c r="F70">
        <v>5.6630000000000003</v>
      </c>
      <c r="G70">
        <v>6.6779999999999999</v>
      </c>
      <c r="H70">
        <v>52.844999999999999</v>
      </c>
      <c r="I70">
        <v>435.5</v>
      </c>
      <c r="K70" t="s">
        <v>116</v>
      </c>
    </row>
    <row r="71" spans="2:18" x14ac:dyDescent="0.3">
      <c r="B71">
        <v>39.002000000000002</v>
      </c>
      <c r="C71">
        <v>33.866999999999997</v>
      </c>
      <c r="D71">
        <v>862</v>
      </c>
      <c r="E71">
        <v>0.85299999999999998</v>
      </c>
      <c r="F71">
        <v>9.0180000000000007</v>
      </c>
      <c r="G71">
        <v>9.3119999999999994</v>
      </c>
      <c r="H71">
        <v>51.786000000000001</v>
      </c>
      <c r="I71">
        <v>443.5</v>
      </c>
      <c r="K71" t="s">
        <v>117</v>
      </c>
    </row>
    <row r="72" spans="2:18" x14ac:dyDescent="0.3">
      <c r="B72">
        <v>39.002000000000002</v>
      </c>
      <c r="C72">
        <v>34.588000000000001</v>
      </c>
      <c r="D72">
        <v>1167</v>
      </c>
      <c r="E72">
        <v>0.19600000000000001</v>
      </c>
      <c r="F72">
        <v>16.120999999999999</v>
      </c>
      <c r="G72">
        <v>8.6959999999999997</v>
      </c>
      <c r="H72">
        <v>81.677999999999997</v>
      </c>
      <c r="I72">
        <v>444.5</v>
      </c>
      <c r="K72" t="s">
        <v>118</v>
      </c>
    </row>
    <row r="73" spans="2:18" x14ac:dyDescent="0.3">
      <c r="B73">
        <v>38.908999999999999</v>
      </c>
      <c r="C73">
        <v>34.347000000000001</v>
      </c>
      <c r="D73">
        <v>1000</v>
      </c>
      <c r="E73">
        <v>0.55200000000000005</v>
      </c>
      <c r="F73">
        <v>1.7869999999999999</v>
      </c>
      <c r="G73">
        <v>17.911000000000001</v>
      </c>
      <c r="H73">
        <v>75.066000000000003</v>
      </c>
      <c r="I73">
        <v>446.5</v>
      </c>
      <c r="K73" t="s">
        <v>119</v>
      </c>
    </row>
    <row r="74" spans="2:18" x14ac:dyDescent="0.3">
      <c r="B74">
        <v>39.095999999999997</v>
      </c>
      <c r="C74">
        <v>33.866999999999997</v>
      </c>
      <c r="D74">
        <v>993</v>
      </c>
      <c r="E74">
        <v>1.012</v>
      </c>
      <c r="F74">
        <v>0.84599999999999997</v>
      </c>
      <c r="G74">
        <v>17.739000000000001</v>
      </c>
      <c r="H74">
        <v>41.429000000000002</v>
      </c>
      <c r="I74">
        <v>459.5</v>
      </c>
    </row>
    <row r="75" spans="2:18" x14ac:dyDescent="0.3">
      <c r="B75">
        <v>38.908999999999999</v>
      </c>
      <c r="C75">
        <v>34.106999999999999</v>
      </c>
      <c r="D75">
        <v>1005</v>
      </c>
      <c r="E75">
        <v>0.64100000000000001</v>
      </c>
      <c r="F75">
        <v>9.09</v>
      </c>
      <c r="G75">
        <v>14.515000000000001</v>
      </c>
      <c r="H75">
        <v>65.613</v>
      </c>
      <c r="I75">
        <v>474.5</v>
      </c>
    </row>
    <row r="76" spans="2:18" x14ac:dyDescent="0.3">
      <c r="B76">
        <v>38.908999999999999</v>
      </c>
      <c r="C76">
        <v>34.226999999999997</v>
      </c>
      <c r="D76">
        <v>944</v>
      </c>
      <c r="E76">
        <v>0.41599999999999998</v>
      </c>
      <c r="F76">
        <v>3.7149999999999999</v>
      </c>
      <c r="G76">
        <v>24.736000000000001</v>
      </c>
      <c r="H76">
        <v>69.707999999999998</v>
      </c>
      <c r="I76">
        <v>480.5</v>
      </c>
      <c r="K76" t="s">
        <v>120</v>
      </c>
    </row>
    <row r="77" spans="2:18" x14ac:dyDescent="0.3">
      <c r="B77" t="s">
        <v>308</v>
      </c>
      <c r="K77" t="s">
        <v>74</v>
      </c>
      <c r="L77" t="s">
        <v>75</v>
      </c>
      <c r="M77" t="s">
        <v>76</v>
      </c>
      <c r="N77" t="s">
        <v>77</v>
      </c>
      <c r="O77" t="s">
        <v>78</v>
      </c>
      <c r="P77" t="s">
        <v>79</v>
      </c>
      <c r="Q77" t="s">
        <v>80</v>
      </c>
      <c r="R77" t="s">
        <v>81</v>
      </c>
    </row>
    <row r="78" spans="2:18" x14ac:dyDescent="0.3">
      <c r="B78" t="s">
        <v>309</v>
      </c>
      <c r="K78">
        <v>38.729999999999997</v>
      </c>
      <c r="L78">
        <v>34.677</v>
      </c>
      <c r="M78">
        <v>1027</v>
      </c>
      <c r="N78">
        <v>0.25700000000000001</v>
      </c>
      <c r="O78">
        <v>3.952</v>
      </c>
      <c r="P78">
        <v>24.863</v>
      </c>
      <c r="Q78">
        <v>49.923000000000002</v>
      </c>
      <c r="R78">
        <v>96.5</v>
      </c>
    </row>
    <row r="79" spans="2:18" x14ac:dyDescent="0.3">
      <c r="B79" t="s">
        <v>310</v>
      </c>
      <c r="K79">
        <v>38.93</v>
      </c>
      <c r="L79">
        <v>34.549999999999997</v>
      </c>
      <c r="M79">
        <v>1241</v>
      </c>
      <c r="N79">
        <v>0.38400000000000001</v>
      </c>
      <c r="O79">
        <v>9.1199999999999992</v>
      </c>
      <c r="P79">
        <v>21.158999999999999</v>
      </c>
      <c r="Q79">
        <v>26.260999999999999</v>
      </c>
      <c r="R79">
        <v>110</v>
      </c>
    </row>
    <row r="80" spans="2:18" x14ac:dyDescent="0.3">
      <c r="B80" t="s">
        <v>311</v>
      </c>
      <c r="K80">
        <v>39.01</v>
      </c>
      <c r="L80">
        <v>34.83</v>
      </c>
      <c r="M80">
        <v>1178</v>
      </c>
      <c r="N80">
        <v>0.18</v>
      </c>
      <c r="O80">
        <v>21.454000000000001</v>
      </c>
      <c r="P80">
        <v>7.5330000000000004</v>
      </c>
      <c r="Q80">
        <v>45.722000000000001</v>
      </c>
      <c r="R80">
        <v>114.5</v>
      </c>
    </row>
    <row r="81" spans="2:18" x14ac:dyDescent="0.3">
      <c r="B81" t="s">
        <v>312</v>
      </c>
      <c r="K81">
        <v>38.383000000000003</v>
      </c>
      <c r="L81">
        <v>33.591999999999999</v>
      </c>
      <c r="M81">
        <v>913</v>
      </c>
      <c r="N81">
        <v>5.0999999999999997E-2</v>
      </c>
      <c r="O81">
        <v>9.9359999999999999</v>
      </c>
      <c r="P81">
        <v>21.579000000000001</v>
      </c>
      <c r="Q81">
        <v>99.846999999999994</v>
      </c>
      <c r="R81">
        <v>115.5</v>
      </c>
    </row>
    <row r="82" spans="2:18" x14ac:dyDescent="0.3">
      <c r="B82" t="s">
        <v>313</v>
      </c>
      <c r="K82">
        <v>39.076999999999998</v>
      </c>
      <c r="L82">
        <v>33.954000000000001</v>
      </c>
      <c r="M82">
        <v>896</v>
      </c>
      <c r="N82">
        <v>0.94099999999999995</v>
      </c>
      <c r="O82">
        <v>0.82599999999999996</v>
      </c>
      <c r="P82">
        <v>14.116</v>
      </c>
      <c r="Q82">
        <v>31.713000000000001</v>
      </c>
      <c r="R82">
        <v>118.5</v>
      </c>
    </row>
    <row r="83" spans="2:18" x14ac:dyDescent="0.3">
      <c r="B83" t="s">
        <v>314</v>
      </c>
      <c r="K83">
        <v>39.076999999999998</v>
      </c>
      <c r="L83">
        <v>34.677</v>
      </c>
      <c r="M83">
        <v>1157</v>
      </c>
      <c r="N83">
        <v>0.18099999999999999</v>
      </c>
      <c r="O83">
        <v>25.332000000000001</v>
      </c>
      <c r="P83">
        <v>15.327999999999999</v>
      </c>
      <c r="Q83">
        <v>31.713000000000001</v>
      </c>
      <c r="R83">
        <v>137.5</v>
      </c>
    </row>
    <row r="84" spans="2:18" x14ac:dyDescent="0.3">
      <c r="B84" t="s">
        <v>315</v>
      </c>
      <c r="K84">
        <v>38.950000000000003</v>
      </c>
      <c r="L84">
        <v>34.79</v>
      </c>
      <c r="M84">
        <v>1310</v>
      </c>
      <c r="N84">
        <v>0.872</v>
      </c>
      <c r="O84">
        <v>15.468</v>
      </c>
      <c r="P84">
        <v>7.5330000000000004</v>
      </c>
      <c r="Q84">
        <v>43.933</v>
      </c>
      <c r="R84">
        <v>155.5</v>
      </c>
    </row>
    <row r="85" spans="2:18" x14ac:dyDescent="0.3">
      <c r="B85" t="s">
        <v>316</v>
      </c>
      <c r="K85">
        <v>38.729999999999997</v>
      </c>
      <c r="L85">
        <v>35.039000000000001</v>
      </c>
      <c r="M85">
        <v>1173</v>
      </c>
      <c r="N85">
        <v>0.64800000000000002</v>
      </c>
      <c r="O85">
        <v>2.8109999999999999</v>
      </c>
      <c r="P85">
        <v>32.768000000000001</v>
      </c>
      <c r="Q85">
        <v>74.225999999999999</v>
      </c>
      <c r="R85">
        <v>160.5</v>
      </c>
    </row>
    <row r="86" spans="2:18" x14ac:dyDescent="0.3">
      <c r="B86" t="s">
        <v>317</v>
      </c>
      <c r="K86">
        <v>38.729999999999997</v>
      </c>
      <c r="L86">
        <v>33.954000000000001</v>
      </c>
      <c r="M86">
        <v>1350</v>
      </c>
      <c r="N86">
        <v>0.32100000000000001</v>
      </c>
      <c r="O86">
        <v>20.164999999999999</v>
      </c>
      <c r="P86">
        <v>24.446999999999999</v>
      </c>
      <c r="Q86">
        <v>49.923000000000002</v>
      </c>
      <c r="R86">
        <v>160.5</v>
      </c>
    </row>
    <row r="87" spans="2:18" x14ac:dyDescent="0.3">
      <c r="B87" t="s">
        <v>318</v>
      </c>
      <c r="K87">
        <v>39.076999999999998</v>
      </c>
      <c r="L87">
        <v>35.039000000000001</v>
      </c>
      <c r="M87">
        <v>1116</v>
      </c>
      <c r="N87">
        <v>0.27100000000000002</v>
      </c>
      <c r="O87">
        <v>24.166</v>
      </c>
      <c r="P87">
        <v>19.686</v>
      </c>
      <c r="Q87">
        <v>63.426000000000002</v>
      </c>
      <c r="R87">
        <v>164.5</v>
      </c>
    </row>
    <row r="88" spans="2:18" x14ac:dyDescent="0.3">
      <c r="B88" t="s">
        <v>319</v>
      </c>
      <c r="K88" t="s">
        <v>121</v>
      </c>
    </row>
    <row r="89" spans="2:18" x14ac:dyDescent="0.3">
      <c r="B89" t="s">
        <v>320</v>
      </c>
      <c r="K89" t="s">
        <v>122</v>
      </c>
    </row>
    <row r="90" spans="2:18" x14ac:dyDescent="0.3">
      <c r="B90" t="s">
        <v>321</v>
      </c>
      <c r="K90" t="s">
        <v>123</v>
      </c>
    </row>
    <row r="91" spans="2:18" x14ac:dyDescent="0.3">
      <c r="B91" t="s">
        <v>322</v>
      </c>
      <c r="K91" t="s">
        <v>124</v>
      </c>
    </row>
    <row r="92" spans="2:18" x14ac:dyDescent="0.3">
      <c r="B92" t="s">
        <v>323</v>
      </c>
      <c r="K92" t="s">
        <v>125</v>
      </c>
    </row>
    <row r="93" spans="2:18" x14ac:dyDescent="0.3">
      <c r="B93" t="s">
        <v>324</v>
      </c>
      <c r="K93" t="s">
        <v>126</v>
      </c>
    </row>
    <row r="94" spans="2:18" x14ac:dyDescent="0.3">
      <c r="B94" t="s">
        <v>325</v>
      </c>
      <c r="K94" t="s">
        <v>127</v>
      </c>
    </row>
    <row r="95" spans="2:18" x14ac:dyDescent="0.3">
      <c r="K95" t="s">
        <v>128</v>
      </c>
    </row>
    <row r="96" spans="2:18" x14ac:dyDescent="0.3">
      <c r="K96" t="s">
        <v>129</v>
      </c>
    </row>
    <row r="97" spans="2:11" x14ac:dyDescent="0.3">
      <c r="B97" t="s">
        <v>326</v>
      </c>
      <c r="K97" t="s">
        <v>130</v>
      </c>
    </row>
    <row r="98" spans="2:11" x14ac:dyDescent="0.3">
      <c r="B98" t="s">
        <v>74</v>
      </c>
      <c r="C98" t="s">
        <v>75</v>
      </c>
      <c r="D98" t="s">
        <v>76</v>
      </c>
      <c r="E98" t="s">
        <v>77</v>
      </c>
      <c r="F98" t="s">
        <v>78</v>
      </c>
      <c r="G98" t="s">
        <v>79</v>
      </c>
      <c r="H98" t="s">
        <v>80</v>
      </c>
      <c r="I98" t="s">
        <v>81</v>
      </c>
      <c r="K98" t="s">
        <v>131</v>
      </c>
    </row>
    <row r="99" spans="2:11" x14ac:dyDescent="0.3">
      <c r="B99">
        <v>39.073</v>
      </c>
      <c r="C99">
        <v>33.764000000000003</v>
      </c>
      <c r="D99">
        <v>862</v>
      </c>
      <c r="E99">
        <v>0.60599999999999998</v>
      </c>
      <c r="F99">
        <v>4.5540000000000003</v>
      </c>
      <c r="G99">
        <v>21.271999999999998</v>
      </c>
      <c r="H99">
        <v>23.236000000000001</v>
      </c>
      <c r="I99">
        <v>392</v>
      </c>
      <c r="K99" t="s">
        <v>132</v>
      </c>
    </row>
    <row r="100" spans="2:11" x14ac:dyDescent="0.3">
      <c r="B100">
        <v>38.988</v>
      </c>
      <c r="C100">
        <v>33.926000000000002</v>
      </c>
      <c r="D100">
        <v>977</v>
      </c>
      <c r="E100">
        <v>0.53</v>
      </c>
      <c r="F100">
        <v>7.2839999999999998</v>
      </c>
      <c r="G100">
        <v>4.7290000000000001</v>
      </c>
      <c r="H100">
        <v>40.116999999999997</v>
      </c>
      <c r="I100">
        <v>401.5</v>
      </c>
      <c r="K100" t="s">
        <v>133</v>
      </c>
    </row>
    <row r="101" spans="2:11" x14ac:dyDescent="0.3">
      <c r="B101">
        <v>38.902999999999999</v>
      </c>
      <c r="C101">
        <v>33.442</v>
      </c>
      <c r="D101">
        <v>919</v>
      </c>
      <c r="E101">
        <v>4.3999999999999997E-2</v>
      </c>
      <c r="F101">
        <v>0.97399999999999998</v>
      </c>
      <c r="G101">
        <v>44.884999999999998</v>
      </c>
      <c r="H101">
        <v>29.271000000000001</v>
      </c>
      <c r="I101">
        <v>406</v>
      </c>
      <c r="K101" t="s">
        <v>134</v>
      </c>
    </row>
    <row r="102" spans="2:11" x14ac:dyDescent="0.3">
      <c r="B102">
        <v>38.988</v>
      </c>
      <c r="C102">
        <v>34.087000000000003</v>
      </c>
      <c r="D102">
        <v>936</v>
      </c>
      <c r="E102">
        <v>0.26300000000000001</v>
      </c>
      <c r="F102">
        <v>3.8519999999999999</v>
      </c>
      <c r="G102">
        <v>12.728999999999999</v>
      </c>
      <c r="H102">
        <v>53.011000000000003</v>
      </c>
      <c r="I102">
        <v>410</v>
      </c>
      <c r="K102" t="s">
        <v>135</v>
      </c>
    </row>
    <row r="103" spans="2:11" x14ac:dyDescent="0.3">
      <c r="B103">
        <v>39.116</v>
      </c>
      <c r="C103">
        <v>33.442</v>
      </c>
      <c r="D103">
        <v>892</v>
      </c>
      <c r="E103">
        <v>0.14299999999999999</v>
      </c>
      <c r="F103">
        <v>4.4400000000000004</v>
      </c>
      <c r="G103">
        <v>48.232999999999997</v>
      </c>
      <c r="H103">
        <v>8.5109999999999992</v>
      </c>
      <c r="I103">
        <v>414</v>
      </c>
      <c r="K103" t="s">
        <v>136</v>
      </c>
    </row>
    <row r="104" spans="2:11" x14ac:dyDescent="0.3">
      <c r="B104">
        <v>39.030999999999999</v>
      </c>
      <c r="C104">
        <v>33.764000000000003</v>
      </c>
      <c r="D104">
        <v>862</v>
      </c>
      <c r="E104">
        <v>0.60599999999999998</v>
      </c>
      <c r="F104">
        <v>7.968</v>
      </c>
      <c r="G104">
        <v>18.582000000000001</v>
      </c>
      <c r="H104">
        <v>25.533999999999999</v>
      </c>
      <c r="I104">
        <v>420</v>
      </c>
      <c r="K104" t="s">
        <v>137</v>
      </c>
    </row>
    <row r="105" spans="2:11" x14ac:dyDescent="0.3">
      <c r="B105">
        <v>38.902999999999999</v>
      </c>
      <c r="C105">
        <v>33.603000000000002</v>
      </c>
      <c r="D105">
        <v>1067</v>
      </c>
      <c r="E105">
        <v>0.44</v>
      </c>
      <c r="F105">
        <v>2.3660000000000001</v>
      </c>
      <c r="G105">
        <v>30.88</v>
      </c>
      <c r="H105">
        <v>29.271000000000001</v>
      </c>
      <c r="I105">
        <v>430</v>
      </c>
      <c r="K105" t="s">
        <v>138</v>
      </c>
    </row>
    <row r="106" spans="2:11" x14ac:dyDescent="0.3">
      <c r="B106">
        <v>39.073</v>
      </c>
      <c r="C106">
        <v>33.844999999999999</v>
      </c>
      <c r="D106">
        <v>862</v>
      </c>
      <c r="E106">
        <v>0.85299999999999998</v>
      </c>
      <c r="F106">
        <v>2.7839999999999998</v>
      </c>
      <c r="G106">
        <v>16.497</v>
      </c>
      <c r="H106">
        <v>29.835000000000001</v>
      </c>
      <c r="I106">
        <v>431</v>
      </c>
      <c r="K106" t="s">
        <v>139</v>
      </c>
    </row>
    <row r="107" spans="2:11" x14ac:dyDescent="0.3">
      <c r="B107">
        <v>39.158000000000001</v>
      </c>
      <c r="C107">
        <v>33.603000000000002</v>
      </c>
      <c r="D107">
        <v>912</v>
      </c>
      <c r="E107">
        <v>0.49399999999999999</v>
      </c>
      <c r="F107">
        <v>4.6660000000000004</v>
      </c>
      <c r="G107">
        <v>38.238</v>
      </c>
      <c r="H107">
        <v>7.0730000000000004</v>
      </c>
      <c r="I107">
        <v>440</v>
      </c>
      <c r="K107" t="s">
        <v>140</v>
      </c>
    </row>
    <row r="108" spans="2:11" x14ac:dyDescent="0.3">
      <c r="B108">
        <v>38.86</v>
      </c>
      <c r="C108">
        <v>33.442</v>
      </c>
      <c r="D108">
        <v>919</v>
      </c>
      <c r="E108">
        <v>4.3999999999999997E-2</v>
      </c>
      <c r="F108">
        <v>1.506</v>
      </c>
      <c r="G108">
        <v>45.680999999999997</v>
      </c>
      <c r="H108">
        <v>33.884</v>
      </c>
      <c r="I108">
        <v>442</v>
      </c>
      <c r="K108" t="s">
        <v>141</v>
      </c>
    </row>
    <row r="109" spans="2:11" x14ac:dyDescent="0.3">
      <c r="B109" t="s">
        <v>327</v>
      </c>
      <c r="K109" t="s">
        <v>142</v>
      </c>
    </row>
    <row r="110" spans="2:11" x14ac:dyDescent="0.3">
      <c r="B110" t="s">
        <v>328</v>
      </c>
      <c r="K110" t="s">
        <v>143</v>
      </c>
    </row>
    <row r="111" spans="2:11" x14ac:dyDescent="0.3">
      <c r="B111" t="s">
        <v>329</v>
      </c>
      <c r="K111" t="s">
        <v>144</v>
      </c>
    </row>
    <row r="112" spans="2:11" x14ac:dyDescent="0.3">
      <c r="B112" t="s">
        <v>330</v>
      </c>
      <c r="K112" t="s">
        <v>145</v>
      </c>
    </row>
    <row r="113" spans="2:18" x14ac:dyDescent="0.3">
      <c r="K113" t="s">
        <v>146</v>
      </c>
    </row>
    <row r="114" spans="2:18" x14ac:dyDescent="0.3">
      <c r="K114" t="s">
        <v>147</v>
      </c>
    </row>
    <row r="115" spans="2:18" x14ac:dyDescent="0.3">
      <c r="B115" t="s">
        <v>331</v>
      </c>
      <c r="K115" t="s">
        <v>148</v>
      </c>
    </row>
    <row r="116" spans="2:18" x14ac:dyDescent="0.3">
      <c r="B116" t="s">
        <v>74</v>
      </c>
      <c r="C116" t="s">
        <v>75</v>
      </c>
      <c r="D116" t="s">
        <v>76</v>
      </c>
      <c r="E116" t="s">
        <v>77</v>
      </c>
      <c r="F116" t="s">
        <v>78</v>
      </c>
      <c r="G116" t="s">
        <v>79</v>
      </c>
      <c r="H116" t="s">
        <v>80</v>
      </c>
      <c r="I116" t="s">
        <v>81</v>
      </c>
      <c r="K116" t="s">
        <v>149</v>
      </c>
    </row>
    <row r="117" spans="2:18" x14ac:dyDescent="0.3">
      <c r="B117">
        <v>40.475000000000001</v>
      </c>
      <c r="C117">
        <v>35.566000000000003</v>
      </c>
      <c r="D117">
        <v>563</v>
      </c>
      <c r="E117">
        <v>0.42699999999999999</v>
      </c>
      <c r="F117">
        <v>1.2509999999999999</v>
      </c>
      <c r="G117">
        <v>7.5129999999999999</v>
      </c>
      <c r="H117">
        <v>6.9880000000000004</v>
      </c>
      <c r="I117">
        <v>95.5</v>
      </c>
      <c r="K117" t="s">
        <v>150</v>
      </c>
    </row>
    <row r="118" spans="2:18" x14ac:dyDescent="0.3">
      <c r="B118">
        <v>40.607999999999997</v>
      </c>
      <c r="C118">
        <v>35.646000000000001</v>
      </c>
      <c r="D118">
        <v>617</v>
      </c>
      <c r="E118">
        <v>0.42899999999999999</v>
      </c>
      <c r="F118">
        <v>4.609</v>
      </c>
      <c r="G118">
        <v>4.1349999999999998</v>
      </c>
      <c r="H118">
        <v>20.388000000000002</v>
      </c>
      <c r="I118">
        <v>150</v>
      </c>
      <c r="K118" t="s">
        <v>151</v>
      </c>
    </row>
    <row r="119" spans="2:18" x14ac:dyDescent="0.3">
      <c r="B119">
        <v>40.540999999999997</v>
      </c>
      <c r="C119">
        <v>35.646000000000001</v>
      </c>
      <c r="D119">
        <v>442</v>
      </c>
      <c r="E119">
        <v>1.083</v>
      </c>
      <c r="F119">
        <v>0.53700000000000003</v>
      </c>
      <c r="G119">
        <v>1.7010000000000001</v>
      </c>
      <c r="H119">
        <v>15.824</v>
      </c>
      <c r="I119">
        <v>181</v>
      </c>
    </row>
    <row r="120" spans="2:18" x14ac:dyDescent="0.3">
      <c r="B120">
        <v>40.607999999999997</v>
      </c>
      <c r="C120">
        <v>35.725999999999999</v>
      </c>
      <c r="D120">
        <v>596</v>
      </c>
      <c r="E120">
        <v>0.20899999999999999</v>
      </c>
      <c r="F120">
        <v>3.5059999999999998</v>
      </c>
      <c r="G120">
        <v>10.592000000000001</v>
      </c>
      <c r="H120">
        <v>25.687000000000001</v>
      </c>
      <c r="I120">
        <v>186.5</v>
      </c>
    </row>
    <row r="121" spans="2:18" x14ac:dyDescent="0.3">
      <c r="B121">
        <v>40.6</v>
      </c>
      <c r="C121">
        <v>35.6</v>
      </c>
      <c r="D121">
        <v>617</v>
      </c>
      <c r="E121">
        <v>0.42899999999999999</v>
      </c>
      <c r="F121">
        <v>5.9889999999999999</v>
      </c>
      <c r="G121">
        <v>6.1470000000000002</v>
      </c>
      <c r="H121">
        <v>17.119</v>
      </c>
      <c r="I121">
        <v>192</v>
      </c>
      <c r="K121" t="s">
        <v>152</v>
      </c>
    </row>
    <row r="122" spans="2:18" x14ac:dyDescent="0.3">
      <c r="B122">
        <v>40.549999999999997</v>
      </c>
      <c r="C122">
        <v>35.630000000000003</v>
      </c>
      <c r="D122">
        <v>442</v>
      </c>
      <c r="E122">
        <v>1.083</v>
      </c>
      <c r="F122">
        <v>0.89</v>
      </c>
      <c r="G122">
        <v>6.1470000000000002</v>
      </c>
      <c r="H122">
        <v>15.109</v>
      </c>
      <c r="I122">
        <v>211</v>
      </c>
      <c r="K122" t="s">
        <v>74</v>
      </c>
      <c r="L122" t="s">
        <v>75</v>
      </c>
      <c r="M122" t="s">
        <v>76</v>
      </c>
      <c r="N122" t="s">
        <v>77</v>
      </c>
      <c r="O122" t="s">
        <v>78</v>
      </c>
      <c r="P122" t="s">
        <v>79</v>
      </c>
      <c r="Q122" t="s">
        <v>80</v>
      </c>
      <c r="R122" t="s">
        <v>81</v>
      </c>
    </row>
    <row r="123" spans="2:18" x14ac:dyDescent="0.3">
      <c r="B123">
        <v>40.408000000000001</v>
      </c>
      <c r="C123">
        <v>35.487000000000002</v>
      </c>
      <c r="D123">
        <v>670</v>
      </c>
      <c r="E123">
        <v>0.63300000000000001</v>
      </c>
      <c r="F123">
        <v>3.0270000000000001</v>
      </c>
      <c r="G123">
        <v>15.456</v>
      </c>
      <c r="H123">
        <v>7.4219999999999997</v>
      </c>
      <c r="I123">
        <v>259</v>
      </c>
      <c r="K123">
        <v>38.911999999999999</v>
      </c>
      <c r="L123">
        <v>34.018999999999998</v>
      </c>
      <c r="M123">
        <v>1018</v>
      </c>
      <c r="N123">
        <v>0.156</v>
      </c>
      <c r="O123">
        <v>12.117000000000001</v>
      </c>
      <c r="P123">
        <v>7.3689999999999998</v>
      </c>
      <c r="Q123">
        <v>33.274000000000001</v>
      </c>
      <c r="R123">
        <v>88.5</v>
      </c>
    </row>
    <row r="124" spans="2:18" x14ac:dyDescent="0.3">
      <c r="B124">
        <v>40.540999999999997</v>
      </c>
      <c r="C124">
        <v>35.725999999999999</v>
      </c>
      <c r="D124">
        <v>440</v>
      </c>
      <c r="E124">
        <v>1.06</v>
      </c>
      <c r="F124">
        <v>2.3180000000000001</v>
      </c>
      <c r="G124">
        <v>8.4469999999999992</v>
      </c>
      <c r="H124">
        <v>22.238</v>
      </c>
      <c r="I124">
        <v>266.5</v>
      </c>
      <c r="K124">
        <v>38.911999999999999</v>
      </c>
      <c r="L124">
        <v>34.354999999999997</v>
      </c>
      <c r="M124">
        <v>1000</v>
      </c>
      <c r="N124">
        <v>0.55200000000000005</v>
      </c>
      <c r="O124">
        <v>2.4319999999999999</v>
      </c>
      <c r="P124">
        <v>17.254000000000001</v>
      </c>
      <c r="Q124">
        <v>28.611000000000001</v>
      </c>
      <c r="R124">
        <v>124.5</v>
      </c>
    </row>
    <row r="125" spans="2:18" x14ac:dyDescent="0.3">
      <c r="B125">
        <v>40.341000000000001</v>
      </c>
      <c r="C125">
        <v>35.487000000000002</v>
      </c>
      <c r="D125">
        <v>670</v>
      </c>
      <c r="E125">
        <v>0.63300000000000001</v>
      </c>
      <c r="F125">
        <v>1.889</v>
      </c>
      <c r="G125">
        <v>19.497</v>
      </c>
      <c r="H125">
        <v>14.845000000000001</v>
      </c>
      <c r="I125">
        <v>293</v>
      </c>
      <c r="K125">
        <v>38.911999999999999</v>
      </c>
      <c r="L125">
        <v>34.578000000000003</v>
      </c>
      <c r="M125">
        <v>1270</v>
      </c>
      <c r="N125">
        <v>0.69</v>
      </c>
      <c r="O125">
        <v>8.5109999999999992</v>
      </c>
      <c r="P125">
        <v>3.1789999999999998</v>
      </c>
      <c r="Q125">
        <v>39.850999999999999</v>
      </c>
      <c r="R125">
        <v>133.5</v>
      </c>
    </row>
    <row r="126" spans="2:18" x14ac:dyDescent="0.3">
      <c r="B126">
        <v>40.475000000000001</v>
      </c>
      <c r="C126">
        <v>35.406999999999996</v>
      </c>
      <c r="D126">
        <v>776</v>
      </c>
      <c r="E126">
        <v>0.14599999999999999</v>
      </c>
      <c r="F126">
        <v>11.547000000000001</v>
      </c>
      <c r="G126">
        <v>14.135999999999999</v>
      </c>
      <c r="H126">
        <v>6.9880000000000004</v>
      </c>
      <c r="I126">
        <v>314.5</v>
      </c>
      <c r="K126">
        <v>39.033000000000001</v>
      </c>
      <c r="L126">
        <v>34.131</v>
      </c>
      <c r="M126">
        <v>928</v>
      </c>
      <c r="N126">
        <v>0.77700000000000002</v>
      </c>
      <c r="O126">
        <v>0.65300000000000002</v>
      </c>
      <c r="P126">
        <v>18.34</v>
      </c>
      <c r="Q126">
        <v>16.637</v>
      </c>
      <c r="R126">
        <v>138.5</v>
      </c>
    </row>
    <row r="127" spans="2:18" x14ac:dyDescent="0.3">
      <c r="B127" t="s">
        <v>332</v>
      </c>
      <c r="K127">
        <v>39.033000000000001</v>
      </c>
      <c r="L127">
        <v>33.906999999999996</v>
      </c>
      <c r="M127">
        <v>862</v>
      </c>
      <c r="N127">
        <v>0.85299999999999998</v>
      </c>
      <c r="O127">
        <v>4.7510000000000003</v>
      </c>
      <c r="P127">
        <v>9.9619999999999997</v>
      </c>
      <c r="Q127">
        <v>32.345999999999997</v>
      </c>
      <c r="R127">
        <v>145.5</v>
      </c>
    </row>
    <row r="128" spans="2:18" x14ac:dyDescent="0.3">
      <c r="B128" t="s">
        <v>333</v>
      </c>
      <c r="K128">
        <v>38.911999999999999</v>
      </c>
      <c r="L128">
        <v>34.131</v>
      </c>
      <c r="M128">
        <v>1005</v>
      </c>
      <c r="N128">
        <v>0.64100000000000001</v>
      </c>
      <c r="O128">
        <v>7.4189999999999996</v>
      </c>
      <c r="P128">
        <v>16.402999999999999</v>
      </c>
      <c r="Q128">
        <v>28.611000000000001</v>
      </c>
      <c r="R128">
        <v>146.5</v>
      </c>
    </row>
    <row r="129" spans="2:18" x14ac:dyDescent="0.3">
      <c r="B129" t="s">
        <v>334</v>
      </c>
      <c r="K129">
        <v>38.911999999999999</v>
      </c>
      <c r="L129">
        <v>34.243000000000002</v>
      </c>
      <c r="M129">
        <v>944</v>
      </c>
      <c r="N129">
        <v>0.41599999999999998</v>
      </c>
      <c r="O129">
        <v>2.7530000000000001</v>
      </c>
      <c r="P129">
        <v>26.004000000000001</v>
      </c>
      <c r="Q129">
        <v>26.876999999999999</v>
      </c>
      <c r="R129">
        <v>149.5</v>
      </c>
    </row>
    <row r="130" spans="2:18" x14ac:dyDescent="0.3">
      <c r="B130" t="s">
        <v>335</v>
      </c>
      <c r="K130">
        <v>39.033000000000001</v>
      </c>
      <c r="L130">
        <v>34.802</v>
      </c>
      <c r="M130">
        <v>1178</v>
      </c>
      <c r="N130">
        <v>0.18</v>
      </c>
      <c r="O130">
        <v>22.805</v>
      </c>
      <c r="P130">
        <v>3.5470000000000002</v>
      </c>
      <c r="Q130">
        <v>50.845999999999997</v>
      </c>
      <c r="R130">
        <v>152</v>
      </c>
    </row>
    <row r="131" spans="2:18" x14ac:dyDescent="0.3">
      <c r="B131" t="s">
        <v>336</v>
      </c>
      <c r="K131">
        <v>39.033000000000001</v>
      </c>
      <c r="L131">
        <v>34.69</v>
      </c>
      <c r="M131">
        <v>1157</v>
      </c>
      <c r="N131">
        <v>0.18099999999999999</v>
      </c>
      <c r="O131">
        <v>22.337</v>
      </c>
      <c r="P131">
        <v>12.529</v>
      </c>
      <c r="Q131">
        <v>41.468000000000004</v>
      </c>
      <c r="R131">
        <v>156.5</v>
      </c>
    </row>
    <row r="132" spans="2:18" x14ac:dyDescent="0.3">
      <c r="B132" t="s">
        <v>337</v>
      </c>
      <c r="K132">
        <v>38.790999999999997</v>
      </c>
      <c r="L132">
        <v>34.354999999999997</v>
      </c>
      <c r="M132">
        <v>949</v>
      </c>
      <c r="N132">
        <v>0.32500000000000001</v>
      </c>
      <c r="O132">
        <v>6.4420000000000002</v>
      </c>
      <c r="P132">
        <v>20.904</v>
      </c>
      <c r="Q132">
        <v>41.491999999999997</v>
      </c>
      <c r="R132">
        <v>157.5</v>
      </c>
    </row>
    <row r="133" spans="2:18" x14ac:dyDescent="0.3">
      <c r="B133" t="s">
        <v>338</v>
      </c>
      <c r="K133" t="s">
        <v>153</v>
      </c>
    </row>
    <row r="134" spans="2:18" x14ac:dyDescent="0.3">
      <c r="B134" t="s">
        <v>339</v>
      </c>
      <c r="K134" t="s">
        <v>154</v>
      </c>
    </row>
    <row r="135" spans="2:18" x14ac:dyDescent="0.3">
      <c r="B135" t="s">
        <v>340</v>
      </c>
      <c r="K135" t="s">
        <v>155</v>
      </c>
    </row>
    <row r="136" spans="2:18" x14ac:dyDescent="0.3">
      <c r="B136" t="s">
        <v>341</v>
      </c>
      <c r="K136" t="s">
        <v>156</v>
      </c>
    </row>
    <row r="137" spans="2:18" x14ac:dyDescent="0.3">
      <c r="B137" t="s">
        <v>342</v>
      </c>
      <c r="K137" t="s">
        <v>157</v>
      </c>
    </row>
    <row r="138" spans="2:18" x14ac:dyDescent="0.3">
      <c r="B138" t="s">
        <v>343</v>
      </c>
      <c r="K138" t="s">
        <v>158</v>
      </c>
    </row>
    <row r="139" spans="2:18" x14ac:dyDescent="0.3">
      <c r="B139" t="s">
        <v>344</v>
      </c>
      <c r="K139" t="s">
        <v>159</v>
      </c>
    </row>
    <row r="140" spans="2:18" x14ac:dyDescent="0.3">
      <c r="K140" t="s">
        <v>160</v>
      </c>
    </row>
    <row r="142" spans="2:18" x14ac:dyDescent="0.3">
      <c r="B142" t="s">
        <v>345</v>
      </c>
    </row>
    <row r="143" spans="2:18" x14ac:dyDescent="0.3">
      <c r="B143" t="s">
        <v>74</v>
      </c>
      <c r="C143" t="s">
        <v>75</v>
      </c>
      <c r="D143" t="s">
        <v>76</v>
      </c>
      <c r="E143" t="s">
        <v>77</v>
      </c>
      <c r="F143" t="s">
        <v>78</v>
      </c>
      <c r="G143" t="s">
        <v>79</v>
      </c>
      <c r="H143" t="s">
        <v>80</v>
      </c>
      <c r="I143" t="s">
        <v>81</v>
      </c>
      <c r="K143" t="s">
        <v>161</v>
      </c>
    </row>
    <row r="144" spans="2:18" x14ac:dyDescent="0.3">
      <c r="B144">
        <v>40.398000000000003</v>
      </c>
      <c r="C144">
        <v>35.496000000000002</v>
      </c>
      <c r="D144">
        <v>670</v>
      </c>
      <c r="E144">
        <v>0.63300000000000001</v>
      </c>
      <c r="F144">
        <v>1.859</v>
      </c>
      <c r="G144">
        <v>15.204000000000001</v>
      </c>
      <c r="H144">
        <v>86.301000000000002</v>
      </c>
      <c r="I144">
        <v>332.5</v>
      </c>
      <c r="K144" t="s">
        <v>74</v>
      </c>
      <c r="L144" t="s">
        <v>75</v>
      </c>
      <c r="M144" t="s">
        <v>76</v>
      </c>
      <c r="N144" t="s">
        <v>77</v>
      </c>
      <c r="O144" t="s">
        <v>78</v>
      </c>
      <c r="P144" t="s">
        <v>79</v>
      </c>
      <c r="Q144" t="s">
        <v>80</v>
      </c>
      <c r="R144" t="s">
        <v>81</v>
      </c>
    </row>
    <row r="145" spans="2:18" x14ac:dyDescent="0.3">
      <c r="B145">
        <v>40.625999999999998</v>
      </c>
      <c r="C145">
        <v>35.695</v>
      </c>
      <c r="D145">
        <v>596</v>
      </c>
      <c r="E145">
        <v>0.20899999999999999</v>
      </c>
      <c r="F145">
        <v>4.944</v>
      </c>
      <c r="G145">
        <v>8.7880000000000003</v>
      </c>
      <c r="H145">
        <v>115.751</v>
      </c>
      <c r="I145">
        <v>335.5</v>
      </c>
      <c r="K145">
        <v>40.6</v>
      </c>
      <c r="L145">
        <v>35.6</v>
      </c>
      <c r="M145">
        <v>617</v>
      </c>
      <c r="N145">
        <v>0.42899999999999999</v>
      </c>
      <c r="O145">
        <v>5.9889999999999999</v>
      </c>
      <c r="P145">
        <v>6.1470000000000002</v>
      </c>
      <c r="Q145">
        <v>40.659999999999997</v>
      </c>
      <c r="R145">
        <v>78.5</v>
      </c>
    </row>
    <row r="146" spans="2:18" x14ac:dyDescent="0.3">
      <c r="B146">
        <v>40.6</v>
      </c>
      <c r="C146">
        <v>35.6</v>
      </c>
      <c r="D146">
        <v>617</v>
      </c>
      <c r="E146">
        <v>0.42899999999999999</v>
      </c>
      <c r="F146">
        <v>5.9889999999999999</v>
      </c>
      <c r="G146">
        <v>6.1470000000000002</v>
      </c>
      <c r="H146">
        <v>107.66200000000001</v>
      </c>
      <c r="I146">
        <v>343.5</v>
      </c>
      <c r="K146">
        <v>40.549999999999997</v>
      </c>
      <c r="L146">
        <v>35.630000000000003</v>
      </c>
      <c r="M146">
        <v>442</v>
      </c>
      <c r="N146">
        <v>1.083</v>
      </c>
      <c r="O146">
        <v>0.89</v>
      </c>
      <c r="P146">
        <v>6.1470000000000002</v>
      </c>
      <c r="Q146">
        <v>34.765999999999998</v>
      </c>
      <c r="R146">
        <v>97.5</v>
      </c>
    </row>
    <row r="147" spans="2:18" x14ac:dyDescent="0.3">
      <c r="B147">
        <v>40.398000000000003</v>
      </c>
      <c r="C147">
        <v>34.1</v>
      </c>
      <c r="D147">
        <v>574</v>
      </c>
      <c r="E147">
        <v>0.751</v>
      </c>
      <c r="F147">
        <v>4.8819999999999997</v>
      </c>
      <c r="G147">
        <v>17.068999999999999</v>
      </c>
      <c r="H147">
        <v>72.87</v>
      </c>
      <c r="I147">
        <v>416.5</v>
      </c>
      <c r="K147">
        <v>40.24</v>
      </c>
      <c r="L147">
        <v>35.465000000000003</v>
      </c>
      <c r="M147">
        <v>865</v>
      </c>
      <c r="N147">
        <v>0.53400000000000003</v>
      </c>
      <c r="O147">
        <v>2.476</v>
      </c>
      <c r="P147">
        <v>29.35</v>
      </c>
      <c r="Q147">
        <v>18.983000000000001</v>
      </c>
      <c r="R147">
        <v>125.5</v>
      </c>
    </row>
    <row r="148" spans="2:18" x14ac:dyDescent="0.3">
      <c r="B148">
        <v>40.17</v>
      </c>
      <c r="C148">
        <v>35.496000000000002</v>
      </c>
      <c r="D148">
        <v>865</v>
      </c>
      <c r="E148">
        <v>0.53400000000000003</v>
      </c>
      <c r="F148">
        <v>4.0069999999999997</v>
      </c>
      <c r="G148">
        <v>31.157</v>
      </c>
      <c r="H148">
        <v>74.343999999999994</v>
      </c>
      <c r="I148">
        <v>444.5</v>
      </c>
      <c r="K148">
        <v>39.997</v>
      </c>
      <c r="L148">
        <v>36.115000000000002</v>
      </c>
      <c r="M148">
        <v>1228</v>
      </c>
      <c r="N148">
        <v>0.68200000000000005</v>
      </c>
      <c r="O148">
        <v>1.2609999999999999</v>
      </c>
      <c r="P148">
        <v>21.678000000000001</v>
      </c>
      <c r="Q148">
        <v>46.591999999999999</v>
      </c>
      <c r="R148">
        <v>125.5</v>
      </c>
    </row>
    <row r="149" spans="2:18" x14ac:dyDescent="0.3">
      <c r="B149">
        <v>40.549999999999997</v>
      </c>
      <c r="C149">
        <v>35.630000000000003</v>
      </c>
      <c r="D149">
        <v>442</v>
      </c>
      <c r="E149">
        <v>1.083</v>
      </c>
      <c r="F149">
        <v>0.89</v>
      </c>
      <c r="G149">
        <v>6.1470000000000002</v>
      </c>
      <c r="H149">
        <v>105.985</v>
      </c>
      <c r="I149">
        <v>451.5</v>
      </c>
      <c r="K149">
        <v>40.46</v>
      </c>
      <c r="L149">
        <v>35.65</v>
      </c>
      <c r="M149">
        <v>512</v>
      </c>
      <c r="N149">
        <v>1.657</v>
      </c>
      <c r="O149">
        <v>5.5650000000000004</v>
      </c>
      <c r="P149">
        <v>10.153</v>
      </c>
      <c r="Q149">
        <v>24.626000000000001</v>
      </c>
      <c r="R149">
        <v>152</v>
      </c>
    </row>
    <row r="150" spans="2:18" x14ac:dyDescent="0.3">
      <c r="B150">
        <v>40.283999999999999</v>
      </c>
      <c r="C150">
        <v>33.901000000000003</v>
      </c>
      <c r="D150">
        <v>665</v>
      </c>
      <c r="E150">
        <v>0.35199999999999998</v>
      </c>
      <c r="F150">
        <v>6.0940000000000003</v>
      </c>
      <c r="G150">
        <v>31.616</v>
      </c>
      <c r="H150">
        <v>79.545000000000002</v>
      </c>
      <c r="I150">
        <v>454.5</v>
      </c>
      <c r="K150">
        <v>40.24</v>
      </c>
      <c r="L150">
        <v>35.898000000000003</v>
      </c>
      <c r="M150">
        <v>839</v>
      </c>
      <c r="N150">
        <v>0.433</v>
      </c>
      <c r="O150">
        <v>21.736000000000001</v>
      </c>
      <c r="P150">
        <v>10.832000000000001</v>
      </c>
      <c r="Q150">
        <v>18.983000000000001</v>
      </c>
      <c r="R150">
        <v>157.5</v>
      </c>
    </row>
    <row r="151" spans="2:18" x14ac:dyDescent="0.3">
      <c r="B151">
        <v>39.145000000000003</v>
      </c>
      <c r="C151">
        <v>35.295999999999999</v>
      </c>
      <c r="D151">
        <v>1145</v>
      </c>
      <c r="E151">
        <v>0.441</v>
      </c>
      <c r="F151">
        <v>16.152000000000001</v>
      </c>
      <c r="G151">
        <v>6.4240000000000004</v>
      </c>
      <c r="H151">
        <v>102.92</v>
      </c>
      <c r="I151">
        <v>457.5</v>
      </c>
      <c r="K151">
        <v>40.725999999999999</v>
      </c>
      <c r="L151">
        <v>35.682000000000002</v>
      </c>
      <c r="M151">
        <v>615</v>
      </c>
      <c r="N151">
        <v>0.48</v>
      </c>
      <c r="O151">
        <v>13.284000000000001</v>
      </c>
      <c r="P151">
        <v>15.715999999999999</v>
      </c>
      <c r="Q151">
        <v>54.015999999999998</v>
      </c>
      <c r="R151">
        <v>159.5</v>
      </c>
    </row>
    <row r="152" spans="2:18" x14ac:dyDescent="0.3">
      <c r="B152">
        <v>39.030999999999999</v>
      </c>
      <c r="C152">
        <v>34.1</v>
      </c>
      <c r="D152">
        <v>928</v>
      </c>
      <c r="E152">
        <v>0.77700000000000002</v>
      </c>
      <c r="F152">
        <v>0.127</v>
      </c>
      <c r="G152">
        <v>15.977</v>
      </c>
      <c r="H152">
        <v>113.99</v>
      </c>
      <c r="I152">
        <v>458.5</v>
      </c>
      <c r="K152">
        <v>40.159999999999997</v>
      </c>
      <c r="L152">
        <v>36.25</v>
      </c>
      <c r="M152">
        <v>1256</v>
      </c>
      <c r="N152">
        <v>0.437</v>
      </c>
      <c r="O152">
        <v>10.811999999999999</v>
      </c>
      <c r="P152">
        <v>24.091999999999999</v>
      </c>
      <c r="Q152">
        <v>50.612000000000002</v>
      </c>
      <c r="R152">
        <v>168.5</v>
      </c>
    </row>
    <row r="153" spans="2:18" x14ac:dyDescent="0.3">
      <c r="B153">
        <v>38.917000000000002</v>
      </c>
      <c r="C153">
        <v>34.1</v>
      </c>
      <c r="D153">
        <v>936</v>
      </c>
      <c r="E153">
        <v>0.26300000000000001</v>
      </c>
      <c r="F153">
        <v>9.1590000000000007</v>
      </c>
      <c r="G153">
        <v>13.659000000000001</v>
      </c>
      <c r="H153">
        <v>125.35899999999999</v>
      </c>
      <c r="I153">
        <v>464.5</v>
      </c>
      <c r="K153">
        <v>40.482999999999997</v>
      </c>
      <c r="L153">
        <v>35.682000000000002</v>
      </c>
      <c r="M153">
        <v>716</v>
      </c>
      <c r="N153">
        <v>2.4940000000000002</v>
      </c>
      <c r="O153">
        <v>6.5309999999999997</v>
      </c>
      <c r="P153">
        <v>3.762</v>
      </c>
      <c r="Q153">
        <v>27.007999999999999</v>
      </c>
      <c r="R153">
        <v>179.5</v>
      </c>
    </row>
    <row r="154" spans="2:18" x14ac:dyDescent="0.3">
      <c r="B154" t="s">
        <v>346</v>
      </c>
      <c r="K154">
        <v>39.997</v>
      </c>
      <c r="L154">
        <v>36.331000000000003</v>
      </c>
      <c r="M154">
        <v>1311</v>
      </c>
      <c r="N154">
        <v>1.3220000000000001</v>
      </c>
      <c r="O154">
        <v>4.9379999999999997</v>
      </c>
      <c r="P154">
        <v>16.893000000000001</v>
      </c>
      <c r="Q154">
        <v>63.027999999999999</v>
      </c>
      <c r="R154">
        <v>182.5</v>
      </c>
    </row>
    <row r="155" spans="2:18" x14ac:dyDescent="0.3">
      <c r="B155" t="s">
        <v>347</v>
      </c>
      <c r="K155" t="s">
        <v>84</v>
      </c>
    </row>
    <row r="156" spans="2:18" x14ac:dyDescent="0.3">
      <c r="B156" t="s">
        <v>348</v>
      </c>
      <c r="K156" t="s">
        <v>162</v>
      </c>
    </row>
    <row r="157" spans="2:18" x14ac:dyDescent="0.3">
      <c r="B157" t="s">
        <v>349</v>
      </c>
      <c r="K157" t="s">
        <v>163</v>
      </c>
    </row>
    <row r="158" spans="2:18" x14ac:dyDescent="0.3">
      <c r="B158" t="s">
        <v>350</v>
      </c>
      <c r="K158" t="s">
        <v>164</v>
      </c>
    </row>
    <row r="159" spans="2:18" x14ac:dyDescent="0.3">
      <c r="B159" t="s">
        <v>351</v>
      </c>
      <c r="K159" t="s">
        <v>165</v>
      </c>
    </row>
    <row r="160" spans="2:18" x14ac:dyDescent="0.3">
      <c r="B160" t="s">
        <v>352</v>
      </c>
      <c r="K160" t="s">
        <v>166</v>
      </c>
    </row>
    <row r="161" spans="2:11" x14ac:dyDescent="0.3">
      <c r="B161" t="s">
        <v>353</v>
      </c>
      <c r="K161" t="s">
        <v>167</v>
      </c>
    </row>
    <row r="162" spans="2:11" x14ac:dyDescent="0.3">
      <c r="B162" t="s">
        <v>354</v>
      </c>
      <c r="K162" t="s">
        <v>168</v>
      </c>
    </row>
    <row r="163" spans="2:11" x14ac:dyDescent="0.3">
      <c r="B163" t="s">
        <v>355</v>
      </c>
      <c r="K163" t="s">
        <v>169</v>
      </c>
    </row>
    <row r="164" spans="2:11" x14ac:dyDescent="0.3">
      <c r="B164" t="s">
        <v>356</v>
      </c>
      <c r="K164" t="s">
        <v>170</v>
      </c>
    </row>
    <row r="165" spans="2:11" x14ac:dyDescent="0.3">
      <c r="B165" t="s">
        <v>357</v>
      </c>
      <c r="K165" t="s">
        <v>171</v>
      </c>
    </row>
    <row r="166" spans="2:11" x14ac:dyDescent="0.3">
      <c r="B166" t="s">
        <v>358</v>
      </c>
      <c r="K166" t="s">
        <v>172</v>
      </c>
    </row>
    <row r="167" spans="2:11" x14ac:dyDescent="0.3">
      <c r="B167" t="s">
        <v>359</v>
      </c>
      <c r="K167" t="s">
        <v>173</v>
      </c>
    </row>
    <row r="168" spans="2:11" x14ac:dyDescent="0.3">
      <c r="B168" t="s">
        <v>360</v>
      </c>
      <c r="K168" t="s">
        <v>174</v>
      </c>
    </row>
    <row r="169" spans="2:11" x14ac:dyDescent="0.3">
      <c r="B169" t="s">
        <v>361</v>
      </c>
      <c r="K169" t="s">
        <v>175</v>
      </c>
    </row>
    <row r="170" spans="2:11" x14ac:dyDescent="0.3">
      <c r="B170" t="s">
        <v>362</v>
      </c>
      <c r="K170" t="s">
        <v>176</v>
      </c>
    </row>
    <row r="171" spans="2:11" x14ac:dyDescent="0.3">
      <c r="B171" t="s">
        <v>363</v>
      </c>
      <c r="K171" t="s">
        <v>177</v>
      </c>
    </row>
    <row r="172" spans="2:11" x14ac:dyDescent="0.3">
      <c r="B172" t="s">
        <v>364</v>
      </c>
      <c r="K172" t="s">
        <v>178</v>
      </c>
    </row>
    <row r="173" spans="2:11" x14ac:dyDescent="0.3">
      <c r="B173" t="s">
        <v>365</v>
      </c>
      <c r="K173" t="s">
        <v>179</v>
      </c>
    </row>
    <row r="174" spans="2:11" x14ac:dyDescent="0.3">
      <c r="B174" t="s">
        <v>366</v>
      </c>
      <c r="K174" t="s">
        <v>180</v>
      </c>
    </row>
    <row r="175" spans="2:11" x14ac:dyDescent="0.3">
      <c r="B175" t="s">
        <v>367</v>
      </c>
      <c r="K175" t="s">
        <v>181</v>
      </c>
    </row>
    <row r="176" spans="2:11" x14ac:dyDescent="0.3">
      <c r="B176" t="s">
        <v>368</v>
      </c>
      <c r="K176" t="s">
        <v>182</v>
      </c>
    </row>
    <row r="177" spans="2:18" x14ac:dyDescent="0.3">
      <c r="B177" t="s">
        <v>369</v>
      </c>
      <c r="K177" t="s">
        <v>183</v>
      </c>
    </row>
    <row r="178" spans="2:18" x14ac:dyDescent="0.3">
      <c r="B178" t="s">
        <v>370</v>
      </c>
    </row>
    <row r="179" spans="2:18" x14ac:dyDescent="0.3">
      <c r="B179" t="s">
        <v>371</v>
      </c>
    </row>
    <row r="180" spans="2:18" x14ac:dyDescent="0.3">
      <c r="B180" t="s">
        <v>372</v>
      </c>
      <c r="K180" t="s">
        <v>184</v>
      </c>
    </row>
    <row r="181" spans="2:18" x14ac:dyDescent="0.3">
      <c r="B181" t="s">
        <v>373</v>
      </c>
      <c r="K181" t="s">
        <v>74</v>
      </c>
      <c r="L181" t="s">
        <v>75</v>
      </c>
      <c r="M181" t="s">
        <v>76</v>
      </c>
      <c r="N181" t="s">
        <v>77</v>
      </c>
      <c r="O181" t="s">
        <v>78</v>
      </c>
      <c r="P181" t="s">
        <v>79</v>
      </c>
      <c r="Q181" t="s">
        <v>80</v>
      </c>
      <c r="R181" t="s">
        <v>81</v>
      </c>
    </row>
    <row r="182" spans="2:18" x14ac:dyDescent="0.3">
      <c r="K182">
        <v>39.01</v>
      </c>
      <c r="L182">
        <v>34.83</v>
      </c>
      <c r="M182">
        <v>1178</v>
      </c>
      <c r="N182">
        <v>0.18</v>
      </c>
      <c r="O182">
        <v>21.454000000000001</v>
      </c>
      <c r="P182">
        <v>7.5330000000000004</v>
      </c>
      <c r="Q182">
        <v>60.463999999999999</v>
      </c>
      <c r="R182">
        <v>91.5</v>
      </c>
    </row>
    <row r="183" spans="2:18" x14ac:dyDescent="0.3">
      <c r="K183">
        <v>38.93</v>
      </c>
      <c r="L183">
        <v>34.549999999999997</v>
      </c>
      <c r="M183">
        <v>1241</v>
      </c>
      <c r="N183">
        <v>0.38400000000000001</v>
      </c>
      <c r="O183">
        <v>9.1199999999999992</v>
      </c>
      <c r="P183">
        <v>21.158999999999999</v>
      </c>
      <c r="Q183">
        <v>86.272000000000006</v>
      </c>
      <c r="R183">
        <v>109</v>
      </c>
    </row>
    <row r="184" spans="2:18" x14ac:dyDescent="0.3">
      <c r="B184" t="s">
        <v>374</v>
      </c>
      <c r="K184">
        <v>40.6</v>
      </c>
      <c r="L184">
        <v>35.6</v>
      </c>
      <c r="M184">
        <v>617</v>
      </c>
      <c r="N184">
        <v>0.42899999999999999</v>
      </c>
      <c r="O184">
        <v>5.9889999999999999</v>
      </c>
      <c r="P184">
        <v>6.1470000000000002</v>
      </c>
      <c r="Q184">
        <v>166.87299999999999</v>
      </c>
      <c r="R184">
        <v>110.5</v>
      </c>
    </row>
    <row r="185" spans="2:18" x14ac:dyDescent="0.3">
      <c r="B185" t="s">
        <v>74</v>
      </c>
      <c r="C185" t="s">
        <v>75</v>
      </c>
      <c r="D185" t="s">
        <v>76</v>
      </c>
      <c r="E185" t="s">
        <v>77</v>
      </c>
      <c r="F185" t="s">
        <v>78</v>
      </c>
      <c r="G185" t="s">
        <v>79</v>
      </c>
      <c r="H185" t="s">
        <v>80</v>
      </c>
      <c r="I185" t="s">
        <v>81</v>
      </c>
      <c r="K185">
        <v>39.1</v>
      </c>
      <c r="L185">
        <v>34.503</v>
      </c>
      <c r="M185">
        <v>1135</v>
      </c>
      <c r="N185">
        <v>0.09</v>
      </c>
      <c r="O185">
        <v>22.782</v>
      </c>
      <c r="P185">
        <v>19.312000000000001</v>
      </c>
      <c r="Q185">
        <v>88.301000000000002</v>
      </c>
      <c r="R185">
        <v>122.5</v>
      </c>
    </row>
    <row r="186" spans="2:18" x14ac:dyDescent="0.3">
      <c r="B186">
        <v>38.987000000000002</v>
      </c>
      <c r="C186">
        <v>35.320999999999998</v>
      </c>
      <c r="D186">
        <v>1179</v>
      </c>
      <c r="E186">
        <v>0.53</v>
      </c>
      <c r="F186">
        <v>2.3199999999999998</v>
      </c>
      <c r="G186">
        <v>21.85</v>
      </c>
      <c r="H186">
        <v>29.065999999999999</v>
      </c>
      <c r="I186">
        <v>307.5</v>
      </c>
      <c r="K186">
        <v>38.950000000000003</v>
      </c>
      <c r="L186">
        <v>34.79</v>
      </c>
      <c r="M186">
        <v>1310</v>
      </c>
      <c r="N186">
        <v>0.872</v>
      </c>
      <c r="O186">
        <v>15.468</v>
      </c>
      <c r="P186">
        <v>7.5330000000000004</v>
      </c>
      <c r="Q186">
        <v>65.299000000000007</v>
      </c>
      <c r="R186">
        <v>125.5</v>
      </c>
    </row>
    <row r="187" spans="2:18" x14ac:dyDescent="0.3">
      <c r="B187">
        <v>39.113999999999997</v>
      </c>
      <c r="C187">
        <v>35.320999999999998</v>
      </c>
      <c r="D187">
        <v>1145</v>
      </c>
      <c r="E187">
        <v>0.441</v>
      </c>
      <c r="F187">
        <v>12.86</v>
      </c>
      <c r="G187">
        <v>10.164999999999999</v>
      </c>
      <c r="H187">
        <v>18.73</v>
      </c>
      <c r="I187">
        <v>310</v>
      </c>
      <c r="K187">
        <v>38.579000000000001</v>
      </c>
      <c r="L187">
        <v>33.496000000000002</v>
      </c>
      <c r="M187">
        <v>905</v>
      </c>
      <c r="N187">
        <v>2.5999999999999999E-2</v>
      </c>
      <c r="O187">
        <v>0</v>
      </c>
      <c r="P187">
        <v>35.094999999999999</v>
      </c>
      <c r="Q187">
        <v>185.84800000000001</v>
      </c>
      <c r="R187">
        <v>133.5</v>
      </c>
    </row>
    <row r="188" spans="2:18" x14ac:dyDescent="0.3">
      <c r="B188">
        <v>39.145000000000003</v>
      </c>
      <c r="C188">
        <v>35.320999999999998</v>
      </c>
      <c r="D188">
        <v>1145</v>
      </c>
      <c r="E188">
        <v>0.441</v>
      </c>
      <c r="F188">
        <v>15.566000000000001</v>
      </c>
      <c r="G188">
        <v>8.4589999999999996</v>
      </c>
      <c r="H188">
        <v>17.001999999999999</v>
      </c>
      <c r="I188">
        <v>322</v>
      </c>
      <c r="K188">
        <v>40.549999999999997</v>
      </c>
      <c r="L188">
        <v>35.630000000000003</v>
      </c>
      <c r="M188">
        <v>442</v>
      </c>
      <c r="N188">
        <v>1.083</v>
      </c>
      <c r="O188">
        <v>0.89</v>
      </c>
      <c r="P188">
        <v>6.1470000000000002</v>
      </c>
      <c r="Q188">
        <v>161.47399999999999</v>
      </c>
      <c r="R188">
        <v>137.5</v>
      </c>
    </row>
    <row r="189" spans="2:18" x14ac:dyDescent="0.3">
      <c r="B189">
        <v>38.954999999999998</v>
      </c>
      <c r="C189">
        <v>35.320999999999998</v>
      </c>
      <c r="D189">
        <v>1179</v>
      </c>
      <c r="E189">
        <v>0.53</v>
      </c>
      <c r="F189">
        <v>0.30299999999999999</v>
      </c>
      <c r="G189">
        <v>25.154</v>
      </c>
      <c r="H189">
        <v>32.094999999999999</v>
      </c>
      <c r="I189">
        <v>325.5</v>
      </c>
      <c r="K189">
        <v>38.579000000000001</v>
      </c>
      <c r="L189">
        <v>36.014000000000003</v>
      </c>
      <c r="M189">
        <v>1478</v>
      </c>
      <c r="N189">
        <v>0.6</v>
      </c>
      <c r="O189">
        <v>1.9830000000000001</v>
      </c>
      <c r="P189">
        <v>44.314999999999998</v>
      </c>
      <c r="Q189">
        <v>72.802999999999997</v>
      </c>
      <c r="R189">
        <v>142.5</v>
      </c>
    </row>
    <row r="190" spans="2:18" x14ac:dyDescent="0.3">
      <c r="B190">
        <v>38.86</v>
      </c>
      <c r="C190">
        <v>34.968000000000004</v>
      </c>
      <c r="D190">
        <v>1254</v>
      </c>
      <c r="E190">
        <v>0.157</v>
      </c>
      <c r="F190">
        <v>9.1560000000000006</v>
      </c>
      <c r="G190">
        <v>18.510999999999999</v>
      </c>
      <c r="H190">
        <v>60.426000000000002</v>
      </c>
      <c r="I190">
        <v>383</v>
      </c>
      <c r="K190">
        <v>40.159999999999997</v>
      </c>
      <c r="L190">
        <v>36.25</v>
      </c>
      <c r="M190">
        <v>1256</v>
      </c>
      <c r="N190">
        <v>0.437</v>
      </c>
      <c r="O190">
        <v>10.811999999999999</v>
      </c>
      <c r="P190">
        <v>24.091999999999999</v>
      </c>
      <c r="Q190">
        <v>134.477</v>
      </c>
      <c r="R190">
        <v>148.5</v>
      </c>
    </row>
    <row r="191" spans="2:18" x14ac:dyDescent="0.3">
      <c r="B191">
        <v>38.923999999999999</v>
      </c>
      <c r="C191">
        <v>35.320999999999998</v>
      </c>
      <c r="D191">
        <v>1179</v>
      </c>
      <c r="E191">
        <v>0.53</v>
      </c>
      <c r="F191">
        <v>2.4689999999999999</v>
      </c>
      <c r="G191">
        <v>28.507999999999999</v>
      </c>
      <c r="H191">
        <v>35.215000000000003</v>
      </c>
      <c r="I191">
        <v>388.5</v>
      </c>
      <c r="K191">
        <v>39.1</v>
      </c>
      <c r="L191">
        <v>35.006999999999998</v>
      </c>
      <c r="M191">
        <v>1076</v>
      </c>
      <c r="N191">
        <v>0.58099999999999996</v>
      </c>
      <c r="O191">
        <v>27.178999999999998</v>
      </c>
      <c r="P191">
        <v>18.420999999999999</v>
      </c>
      <c r="Q191">
        <v>44.15</v>
      </c>
      <c r="R191">
        <v>156</v>
      </c>
    </row>
    <row r="192" spans="2:18" x14ac:dyDescent="0.3">
      <c r="B192">
        <v>39.177</v>
      </c>
      <c r="C192">
        <v>35.497999999999998</v>
      </c>
      <c r="D192">
        <v>1292</v>
      </c>
      <c r="E192">
        <v>0.46200000000000002</v>
      </c>
      <c r="F192">
        <v>13.092000000000001</v>
      </c>
      <c r="G192">
        <v>23.488</v>
      </c>
      <c r="H192">
        <v>3.5139999999999998</v>
      </c>
      <c r="I192">
        <v>397.5</v>
      </c>
      <c r="K192" t="s">
        <v>185</v>
      </c>
    </row>
    <row r="193" spans="2:11" x14ac:dyDescent="0.3">
      <c r="B193">
        <v>38.892000000000003</v>
      </c>
      <c r="C193">
        <v>34.968000000000004</v>
      </c>
      <c r="D193">
        <v>1254</v>
      </c>
      <c r="E193">
        <v>0.157</v>
      </c>
      <c r="F193">
        <v>11.929</v>
      </c>
      <c r="G193">
        <v>16.885000000000002</v>
      </c>
      <c r="H193">
        <v>58.241</v>
      </c>
      <c r="I193">
        <v>408</v>
      </c>
      <c r="K193" t="s">
        <v>186</v>
      </c>
    </row>
    <row r="194" spans="2:11" x14ac:dyDescent="0.3">
      <c r="B194">
        <v>39.082000000000001</v>
      </c>
      <c r="C194">
        <v>35.497999999999998</v>
      </c>
      <c r="D194">
        <v>1340</v>
      </c>
      <c r="E194">
        <v>0.70899999999999996</v>
      </c>
      <c r="F194">
        <v>6.56</v>
      </c>
      <c r="G194">
        <v>25.436</v>
      </c>
      <c r="H194">
        <v>14.058</v>
      </c>
      <c r="I194">
        <v>424.5</v>
      </c>
      <c r="K194" t="s">
        <v>187</v>
      </c>
    </row>
    <row r="195" spans="2:11" x14ac:dyDescent="0.3">
      <c r="B195">
        <v>39.207999999999998</v>
      </c>
      <c r="C195">
        <v>35.497999999999998</v>
      </c>
      <c r="D195">
        <v>1292</v>
      </c>
      <c r="E195">
        <v>0.46200000000000002</v>
      </c>
      <c r="F195">
        <v>15.651</v>
      </c>
      <c r="G195">
        <v>23.86</v>
      </c>
      <c r="H195">
        <v>0</v>
      </c>
      <c r="I195">
        <v>425</v>
      </c>
      <c r="K195" t="s">
        <v>188</v>
      </c>
    </row>
    <row r="196" spans="2:11" x14ac:dyDescent="0.3">
      <c r="B196" t="s">
        <v>375</v>
      </c>
      <c r="K196" t="s">
        <v>189</v>
      </c>
    </row>
    <row r="197" spans="2:11" x14ac:dyDescent="0.3">
      <c r="B197" t="s">
        <v>376</v>
      </c>
      <c r="K197" t="s">
        <v>190</v>
      </c>
    </row>
    <row r="198" spans="2:11" x14ac:dyDescent="0.3">
      <c r="B198" t="s">
        <v>377</v>
      </c>
      <c r="K198" t="s">
        <v>191</v>
      </c>
    </row>
    <row r="199" spans="2:11" x14ac:dyDescent="0.3">
      <c r="B199" t="s">
        <v>378</v>
      </c>
      <c r="K199" t="s">
        <v>192</v>
      </c>
    </row>
    <row r="200" spans="2:11" x14ac:dyDescent="0.3">
      <c r="B200" t="s">
        <v>379</v>
      </c>
      <c r="K200" t="s">
        <v>193</v>
      </c>
    </row>
    <row r="201" spans="2:11" x14ac:dyDescent="0.3">
      <c r="B201" t="s">
        <v>380</v>
      </c>
      <c r="K201" t="s">
        <v>194</v>
      </c>
    </row>
    <row r="202" spans="2:11" x14ac:dyDescent="0.3">
      <c r="B202" t="s">
        <v>381</v>
      </c>
      <c r="K202" t="s">
        <v>195</v>
      </c>
    </row>
    <row r="203" spans="2:11" x14ac:dyDescent="0.3">
      <c r="K203" t="s">
        <v>196</v>
      </c>
    </row>
    <row r="204" spans="2:11" x14ac:dyDescent="0.3">
      <c r="K204" t="s">
        <v>197</v>
      </c>
    </row>
    <row r="205" spans="2:11" x14ac:dyDescent="0.3">
      <c r="B205" t="s">
        <v>382</v>
      </c>
      <c r="K205" t="s">
        <v>198</v>
      </c>
    </row>
    <row r="206" spans="2:11" x14ac:dyDescent="0.3">
      <c r="B206" t="s">
        <v>74</v>
      </c>
      <c r="C206" t="s">
        <v>75</v>
      </c>
      <c r="D206" t="s">
        <v>76</v>
      </c>
      <c r="E206" t="s">
        <v>77</v>
      </c>
      <c r="F206" t="s">
        <v>78</v>
      </c>
      <c r="G206" t="s">
        <v>79</v>
      </c>
      <c r="H206" t="s">
        <v>80</v>
      </c>
      <c r="I206" t="s">
        <v>81</v>
      </c>
      <c r="K206" t="s">
        <v>199</v>
      </c>
    </row>
    <row r="207" spans="2:11" x14ac:dyDescent="0.3">
      <c r="B207">
        <v>38.920999999999999</v>
      </c>
      <c r="C207">
        <v>34.518999999999998</v>
      </c>
      <c r="D207">
        <v>1241</v>
      </c>
      <c r="E207">
        <v>0.38400000000000001</v>
      </c>
      <c r="F207">
        <v>7.774</v>
      </c>
      <c r="G207">
        <v>2.887</v>
      </c>
      <c r="H207">
        <v>59.902999999999999</v>
      </c>
      <c r="I207">
        <v>278</v>
      </c>
      <c r="K207" t="s">
        <v>200</v>
      </c>
    </row>
    <row r="208" spans="2:11" x14ac:dyDescent="0.3">
      <c r="B208">
        <v>38.920999999999999</v>
      </c>
      <c r="C208">
        <v>34.112000000000002</v>
      </c>
      <c r="D208">
        <v>936</v>
      </c>
      <c r="E208">
        <v>0.26300000000000001</v>
      </c>
      <c r="F208">
        <v>8.1649999999999991</v>
      </c>
      <c r="G208">
        <v>14.522</v>
      </c>
      <c r="H208">
        <v>48.078000000000003</v>
      </c>
      <c r="I208">
        <v>280.5</v>
      </c>
      <c r="K208" t="s">
        <v>201</v>
      </c>
    </row>
    <row r="209" spans="2:11" x14ac:dyDescent="0.3">
      <c r="B209">
        <v>39.353999999999999</v>
      </c>
      <c r="C209">
        <v>34.01</v>
      </c>
      <c r="D209">
        <v>1213</v>
      </c>
      <c r="E209">
        <v>0.29699999999999999</v>
      </c>
      <c r="F209">
        <v>23.55</v>
      </c>
      <c r="G209">
        <v>7.2210000000000001</v>
      </c>
      <c r="H209">
        <v>8.9329999999999998</v>
      </c>
      <c r="I209">
        <v>291.5</v>
      </c>
      <c r="K209" t="s">
        <v>202</v>
      </c>
    </row>
    <row r="210" spans="2:11" x14ac:dyDescent="0.3">
      <c r="B210">
        <v>39.353999999999999</v>
      </c>
      <c r="C210">
        <v>34.112000000000002</v>
      </c>
      <c r="D210">
        <v>1238</v>
      </c>
      <c r="E210">
        <v>0.35199999999999998</v>
      </c>
      <c r="F210">
        <v>26.594999999999999</v>
      </c>
      <c r="G210">
        <v>4.6609999999999996</v>
      </c>
      <c r="H210">
        <v>0</v>
      </c>
      <c r="I210">
        <v>309</v>
      </c>
      <c r="K210" t="s">
        <v>203</v>
      </c>
    </row>
    <row r="211" spans="2:11" x14ac:dyDescent="0.3">
      <c r="B211">
        <v>39.008000000000003</v>
      </c>
      <c r="C211">
        <v>34.112000000000002</v>
      </c>
      <c r="D211">
        <v>928</v>
      </c>
      <c r="E211">
        <v>0.77700000000000002</v>
      </c>
      <c r="F211">
        <v>1.754</v>
      </c>
      <c r="G211">
        <v>15.541</v>
      </c>
      <c r="H211">
        <v>38.463000000000001</v>
      </c>
      <c r="I211">
        <v>316.5</v>
      </c>
      <c r="K211" t="s">
        <v>204</v>
      </c>
    </row>
    <row r="212" spans="2:11" x14ac:dyDescent="0.3">
      <c r="B212">
        <v>39.008000000000003</v>
      </c>
      <c r="C212">
        <v>33.908000000000001</v>
      </c>
      <c r="D212">
        <v>862</v>
      </c>
      <c r="E212">
        <v>0.85299999999999998</v>
      </c>
      <c r="F212">
        <v>6.4450000000000003</v>
      </c>
      <c r="G212">
        <v>7.3959999999999999</v>
      </c>
      <c r="H212">
        <v>42.41</v>
      </c>
      <c r="I212">
        <v>352.5</v>
      </c>
      <c r="K212" t="s">
        <v>205</v>
      </c>
    </row>
    <row r="213" spans="2:11" x14ac:dyDescent="0.3">
      <c r="B213">
        <v>38.835000000000001</v>
      </c>
      <c r="C213">
        <v>34.518999999999998</v>
      </c>
      <c r="D213">
        <v>1270</v>
      </c>
      <c r="E213">
        <v>0.69</v>
      </c>
      <c r="F213">
        <v>0.36299999999999999</v>
      </c>
      <c r="G213">
        <v>10.949</v>
      </c>
      <c r="H213">
        <v>67.864000000000004</v>
      </c>
      <c r="I213">
        <v>353.5</v>
      </c>
      <c r="K213" t="s">
        <v>206</v>
      </c>
    </row>
    <row r="214" spans="2:11" x14ac:dyDescent="0.3">
      <c r="B214">
        <v>39.008000000000003</v>
      </c>
      <c r="C214">
        <v>33.805999999999997</v>
      </c>
      <c r="D214">
        <v>862</v>
      </c>
      <c r="E214">
        <v>0.60599999999999998</v>
      </c>
      <c r="F214">
        <v>8.9280000000000008</v>
      </c>
      <c r="G214">
        <v>14.167</v>
      </c>
      <c r="H214">
        <v>46.878999999999998</v>
      </c>
      <c r="I214">
        <v>361.5</v>
      </c>
      <c r="K214" t="s">
        <v>207</v>
      </c>
    </row>
    <row r="215" spans="2:11" x14ac:dyDescent="0.3">
      <c r="B215">
        <v>39.008000000000003</v>
      </c>
      <c r="C215">
        <v>34.621000000000002</v>
      </c>
      <c r="D215">
        <v>1167</v>
      </c>
      <c r="E215">
        <v>0.19600000000000001</v>
      </c>
      <c r="F215">
        <v>17.677</v>
      </c>
      <c r="G215">
        <v>10.634</v>
      </c>
      <c r="H215">
        <v>58.944000000000003</v>
      </c>
      <c r="I215">
        <v>369.5</v>
      </c>
      <c r="K215" t="s">
        <v>208</v>
      </c>
    </row>
    <row r="216" spans="2:11" x14ac:dyDescent="0.3">
      <c r="B216">
        <v>39.094000000000001</v>
      </c>
      <c r="C216">
        <v>33.908000000000001</v>
      </c>
      <c r="D216">
        <v>993</v>
      </c>
      <c r="E216">
        <v>1.012</v>
      </c>
      <c r="F216">
        <v>0.84899999999999998</v>
      </c>
      <c r="G216">
        <v>16.440000000000001</v>
      </c>
      <c r="H216">
        <v>33.932000000000002</v>
      </c>
      <c r="I216">
        <v>371.5</v>
      </c>
      <c r="K216" t="s">
        <v>209</v>
      </c>
    </row>
    <row r="217" spans="2:11" x14ac:dyDescent="0.3">
      <c r="B217" t="s">
        <v>383</v>
      </c>
      <c r="K217" t="s">
        <v>210</v>
      </c>
    </row>
    <row r="218" spans="2:11" x14ac:dyDescent="0.3">
      <c r="B218" t="s">
        <v>384</v>
      </c>
      <c r="K218" t="s">
        <v>211</v>
      </c>
    </row>
    <row r="219" spans="2:11" x14ac:dyDescent="0.3">
      <c r="B219" t="s">
        <v>385</v>
      </c>
      <c r="K219" t="s">
        <v>212</v>
      </c>
    </row>
    <row r="220" spans="2:11" x14ac:dyDescent="0.3">
      <c r="B220" t="s">
        <v>386</v>
      </c>
      <c r="K220" t="s">
        <v>213</v>
      </c>
    </row>
    <row r="221" spans="2:11" x14ac:dyDescent="0.3">
      <c r="B221" t="s">
        <v>387</v>
      </c>
      <c r="K221" t="s">
        <v>214</v>
      </c>
    </row>
    <row r="222" spans="2:11" x14ac:dyDescent="0.3">
      <c r="B222" t="s">
        <v>388</v>
      </c>
      <c r="K222" t="s">
        <v>215</v>
      </c>
    </row>
    <row r="223" spans="2:11" x14ac:dyDescent="0.3">
      <c r="B223" t="s">
        <v>389</v>
      </c>
      <c r="K223" t="s">
        <v>216</v>
      </c>
    </row>
    <row r="224" spans="2:11" x14ac:dyDescent="0.3">
      <c r="B224" t="s">
        <v>390</v>
      </c>
      <c r="K224" t="s">
        <v>217</v>
      </c>
    </row>
    <row r="225" spans="2:18" x14ac:dyDescent="0.3">
      <c r="B225" t="s">
        <v>391</v>
      </c>
      <c r="K225" t="s">
        <v>218</v>
      </c>
    </row>
    <row r="226" spans="2:18" x14ac:dyDescent="0.3">
      <c r="K226" t="s">
        <v>219</v>
      </c>
    </row>
    <row r="227" spans="2:18" x14ac:dyDescent="0.3">
      <c r="K227" t="s">
        <v>220</v>
      </c>
    </row>
    <row r="228" spans="2:18" x14ac:dyDescent="0.3">
      <c r="B228" t="s">
        <v>392</v>
      </c>
      <c r="K228" t="s">
        <v>221</v>
      </c>
    </row>
    <row r="229" spans="2:18" x14ac:dyDescent="0.3">
      <c r="B229" t="s">
        <v>74</v>
      </c>
      <c r="C229" t="s">
        <v>75</v>
      </c>
      <c r="D229" t="s">
        <v>76</v>
      </c>
      <c r="E229" t="s">
        <v>77</v>
      </c>
      <c r="F229" t="s">
        <v>78</v>
      </c>
      <c r="G229" t="s">
        <v>79</v>
      </c>
      <c r="H229" t="s">
        <v>80</v>
      </c>
      <c r="I229" t="s">
        <v>81</v>
      </c>
      <c r="K229" t="s">
        <v>222</v>
      </c>
    </row>
    <row r="230" spans="2:18" x14ac:dyDescent="0.3">
      <c r="B230">
        <v>38.595999999999997</v>
      </c>
      <c r="C230">
        <v>36.125</v>
      </c>
      <c r="D230">
        <v>1475</v>
      </c>
      <c r="E230">
        <v>0.43</v>
      </c>
      <c r="F230">
        <v>0.84799999999999998</v>
      </c>
      <c r="G230">
        <v>35.756999999999998</v>
      </c>
      <c r="H230">
        <v>7.0069999999999997</v>
      </c>
      <c r="I230">
        <v>248.5</v>
      </c>
      <c r="K230" t="s">
        <v>223</v>
      </c>
    </row>
    <row r="231" spans="2:18" x14ac:dyDescent="0.3">
      <c r="B231">
        <v>38.613</v>
      </c>
      <c r="C231">
        <v>36.125</v>
      </c>
      <c r="D231">
        <v>1475</v>
      </c>
      <c r="E231">
        <v>0.43</v>
      </c>
      <c r="F231">
        <v>0.38600000000000001</v>
      </c>
      <c r="G231">
        <v>36.536999999999999</v>
      </c>
      <c r="H231">
        <v>7.2560000000000002</v>
      </c>
      <c r="I231">
        <v>250.5</v>
      </c>
    </row>
    <row r="232" spans="2:18" x14ac:dyDescent="0.3">
      <c r="B232">
        <v>38.595999999999997</v>
      </c>
      <c r="C232">
        <v>36.085000000000001</v>
      </c>
      <c r="D232">
        <v>1475</v>
      </c>
      <c r="E232">
        <v>0.43</v>
      </c>
      <c r="F232">
        <v>0.57199999999999995</v>
      </c>
      <c r="G232">
        <v>39.005000000000003</v>
      </c>
      <c r="H232">
        <v>3.5030000000000001</v>
      </c>
      <c r="I232">
        <v>250.5</v>
      </c>
    </row>
    <row r="233" spans="2:18" x14ac:dyDescent="0.3">
      <c r="B233">
        <v>38.595999999999997</v>
      </c>
      <c r="C233">
        <v>36.045000000000002</v>
      </c>
      <c r="D233">
        <v>1445</v>
      </c>
      <c r="E233">
        <v>0.253</v>
      </c>
      <c r="F233">
        <v>1.722</v>
      </c>
      <c r="G233">
        <v>42.292999999999999</v>
      </c>
      <c r="H233">
        <v>0</v>
      </c>
      <c r="I233">
        <v>251.5</v>
      </c>
      <c r="K233" t="s">
        <v>224</v>
      </c>
    </row>
    <row r="234" spans="2:18" x14ac:dyDescent="0.3">
      <c r="B234">
        <v>38.579000000000001</v>
      </c>
      <c r="C234">
        <v>36.085000000000001</v>
      </c>
      <c r="D234">
        <v>1550</v>
      </c>
      <c r="E234">
        <v>0.501</v>
      </c>
      <c r="F234">
        <v>0.83899999999999997</v>
      </c>
      <c r="G234">
        <v>38.368000000000002</v>
      </c>
      <c r="H234">
        <v>3.9780000000000002</v>
      </c>
      <c r="I234">
        <v>268.5</v>
      </c>
      <c r="K234" t="s">
        <v>74</v>
      </c>
      <c r="L234" t="s">
        <v>75</v>
      </c>
      <c r="M234" t="s">
        <v>76</v>
      </c>
      <c r="N234" t="s">
        <v>77</v>
      </c>
      <c r="O234" t="s">
        <v>78</v>
      </c>
      <c r="P234" t="s">
        <v>79</v>
      </c>
      <c r="Q234" t="s">
        <v>80</v>
      </c>
      <c r="R234" t="s">
        <v>81</v>
      </c>
    </row>
    <row r="235" spans="2:18" x14ac:dyDescent="0.3">
      <c r="B235">
        <v>38.630000000000003</v>
      </c>
      <c r="C235">
        <v>36.125</v>
      </c>
      <c r="D235">
        <v>1475</v>
      </c>
      <c r="E235">
        <v>0.43</v>
      </c>
      <c r="F235">
        <v>1.4419999999999999</v>
      </c>
      <c r="G235">
        <v>37.395000000000003</v>
      </c>
      <c r="H235">
        <v>7.9560000000000004</v>
      </c>
      <c r="I235">
        <v>281.5</v>
      </c>
      <c r="K235">
        <v>38.826000000000001</v>
      </c>
      <c r="L235">
        <v>34.792999999999999</v>
      </c>
      <c r="M235">
        <v>1165</v>
      </c>
      <c r="N235">
        <v>0.29699999999999999</v>
      </c>
      <c r="O235">
        <v>5.19</v>
      </c>
      <c r="P235">
        <v>13.827</v>
      </c>
      <c r="Q235">
        <v>39.003</v>
      </c>
      <c r="R235">
        <v>84.5</v>
      </c>
    </row>
    <row r="236" spans="2:18" x14ac:dyDescent="0.3">
      <c r="B236">
        <v>38.630000000000003</v>
      </c>
      <c r="C236">
        <v>36.164999999999999</v>
      </c>
      <c r="D236">
        <v>1475</v>
      </c>
      <c r="E236">
        <v>0.43</v>
      </c>
      <c r="F236">
        <v>1.1839999999999999</v>
      </c>
      <c r="G236">
        <v>34.353999999999999</v>
      </c>
      <c r="H236">
        <v>11.166</v>
      </c>
      <c r="I236">
        <v>284.5</v>
      </c>
      <c r="K236">
        <v>39.01</v>
      </c>
      <c r="L236">
        <v>34.83</v>
      </c>
      <c r="M236">
        <v>1178</v>
      </c>
      <c r="N236">
        <v>0.18</v>
      </c>
      <c r="O236">
        <v>21.454000000000001</v>
      </c>
      <c r="P236">
        <v>7.5330000000000004</v>
      </c>
      <c r="Q236">
        <v>25.37</v>
      </c>
      <c r="R236">
        <v>104</v>
      </c>
    </row>
    <row r="237" spans="2:18" x14ac:dyDescent="0.3">
      <c r="B237">
        <v>38.613</v>
      </c>
      <c r="C237">
        <v>36.045000000000002</v>
      </c>
      <c r="D237">
        <v>1445</v>
      </c>
      <c r="E237">
        <v>0.253</v>
      </c>
      <c r="F237">
        <v>3.0910000000000002</v>
      </c>
      <c r="G237">
        <v>42.954000000000001</v>
      </c>
      <c r="H237">
        <v>1.885</v>
      </c>
      <c r="I237">
        <v>285</v>
      </c>
      <c r="K237">
        <v>38.950000000000003</v>
      </c>
      <c r="L237">
        <v>35.265000000000001</v>
      </c>
      <c r="M237">
        <v>1179</v>
      </c>
      <c r="N237">
        <v>0.53</v>
      </c>
      <c r="O237">
        <v>2.6179999999999999</v>
      </c>
      <c r="P237">
        <v>24.669</v>
      </c>
      <c r="Q237">
        <v>19.501999999999999</v>
      </c>
      <c r="R237">
        <v>111.5</v>
      </c>
    </row>
    <row r="238" spans="2:18" x14ac:dyDescent="0.3">
      <c r="B238">
        <v>38.646999999999998</v>
      </c>
      <c r="C238">
        <v>36.164999999999999</v>
      </c>
      <c r="D238">
        <v>1475</v>
      </c>
      <c r="E238">
        <v>0.43</v>
      </c>
      <c r="F238">
        <v>0.25</v>
      </c>
      <c r="G238">
        <v>35.366</v>
      </c>
      <c r="H238">
        <v>11.935</v>
      </c>
      <c r="I238">
        <v>286.5</v>
      </c>
      <c r="K238">
        <v>38.826000000000001</v>
      </c>
      <c r="L238">
        <v>35.107999999999997</v>
      </c>
      <c r="M238">
        <v>1124</v>
      </c>
      <c r="N238">
        <v>0.314</v>
      </c>
      <c r="O238">
        <v>1.569</v>
      </c>
      <c r="P238">
        <v>31.106000000000002</v>
      </c>
      <c r="Q238">
        <v>27.584</v>
      </c>
      <c r="R238">
        <v>118.5</v>
      </c>
    </row>
    <row r="239" spans="2:18" x14ac:dyDescent="0.3">
      <c r="B239">
        <v>38.613</v>
      </c>
      <c r="C239">
        <v>36.085000000000001</v>
      </c>
      <c r="D239">
        <v>1475</v>
      </c>
      <c r="E239">
        <v>0.43</v>
      </c>
      <c r="F239">
        <v>1.952</v>
      </c>
      <c r="G239">
        <v>39.720999999999997</v>
      </c>
      <c r="H239">
        <v>3.9780000000000002</v>
      </c>
      <c r="I239">
        <v>286.5</v>
      </c>
      <c r="K239">
        <v>39.073999999999998</v>
      </c>
      <c r="L239">
        <v>34.792999999999999</v>
      </c>
      <c r="M239">
        <v>1178</v>
      </c>
      <c r="N239">
        <v>0.18</v>
      </c>
      <c r="O239">
        <v>26.204999999999998</v>
      </c>
      <c r="P239">
        <v>7.7889999999999997</v>
      </c>
      <c r="Q239">
        <v>27.574999999999999</v>
      </c>
      <c r="R239">
        <v>124</v>
      </c>
    </row>
    <row r="240" spans="2:18" x14ac:dyDescent="0.3">
      <c r="K240">
        <v>38.950000000000003</v>
      </c>
      <c r="L240">
        <v>34.951000000000001</v>
      </c>
      <c r="M240">
        <v>1246</v>
      </c>
      <c r="N240">
        <v>0.59799999999999998</v>
      </c>
      <c r="O240">
        <v>17.062999999999999</v>
      </c>
      <c r="P240">
        <v>12.515000000000001</v>
      </c>
      <c r="Q240">
        <v>19.501999999999999</v>
      </c>
      <c r="R240">
        <v>134.5</v>
      </c>
    </row>
    <row r="241" spans="11:18" x14ac:dyDescent="0.3">
      <c r="K241">
        <v>39.073999999999998</v>
      </c>
      <c r="L241">
        <v>35.107999999999997</v>
      </c>
      <c r="M241">
        <v>1130</v>
      </c>
      <c r="N241">
        <v>0.55000000000000004</v>
      </c>
      <c r="O241">
        <v>20.146999999999998</v>
      </c>
      <c r="P241">
        <v>15.129</v>
      </c>
      <c r="Q241">
        <v>0</v>
      </c>
      <c r="R241">
        <v>140</v>
      </c>
    </row>
    <row r="242" spans="11:18" x14ac:dyDescent="0.3">
      <c r="K242">
        <v>39.073999999999998</v>
      </c>
      <c r="L242">
        <v>34.951000000000001</v>
      </c>
      <c r="M242">
        <v>1171</v>
      </c>
      <c r="N242">
        <v>0.45200000000000001</v>
      </c>
      <c r="O242">
        <v>27.042999999999999</v>
      </c>
      <c r="P242">
        <v>12.731</v>
      </c>
      <c r="Q242">
        <v>13.787000000000001</v>
      </c>
      <c r="R242">
        <v>147.5</v>
      </c>
    </row>
    <row r="243" spans="11:18" x14ac:dyDescent="0.3">
      <c r="K243">
        <v>39.073999999999998</v>
      </c>
      <c r="L243">
        <v>35.421999999999997</v>
      </c>
      <c r="M243">
        <v>1340</v>
      </c>
      <c r="N243">
        <v>0.70899999999999996</v>
      </c>
      <c r="O243">
        <v>8.5630000000000006</v>
      </c>
      <c r="P243">
        <v>19.962</v>
      </c>
      <c r="Q243">
        <v>27.574999999999999</v>
      </c>
      <c r="R243">
        <v>148.5</v>
      </c>
    </row>
    <row r="244" spans="11:18" x14ac:dyDescent="0.3">
      <c r="K244">
        <v>39.073999999999998</v>
      </c>
      <c r="L244">
        <v>35.265000000000001</v>
      </c>
      <c r="M244">
        <v>1225</v>
      </c>
      <c r="N244">
        <v>0.96699999999999997</v>
      </c>
      <c r="O244">
        <v>11.175000000000001</v>
      </c>
      <c r="P244">
        <v>11.118</v>
      </c>
      <c r="Q244">
        <v>13.787000000000001</v>
      </c>
      <c r="R244">
        <v>150.5</v>
      </c>
    </row>
    <row r="245" spans="11:18" x14ac:dyDescent="0.3">
      <c r="K245" t="s">
        <v>112</v>
      </c>
    </row>
    <row r="246" spans="11:18" x14ac:dyDescent="0.3">
      <c r="K246" t="s">
        <v>225</v>
      </c>
    </row>
    <row r="247" spans="11:18" x14ac:dyDescent="0.3">
      <c r="K247" t="s">
        <v>226</v>
      </c>
    </row>
    <row r="248" spans="11:18" x14ac:dyDescent="0.3">
      <c r="K248" t="s">
        <v>227</v>
      </c>
    </row>
    <row r="249" spans="11:18" x14ac:dyDescent="0.3">
      <c r="K249" t="s">
        <v>228</v>
      </c>
    </row>
    <row r="250" spans="11:18" x14ac:dyDescent="0.3">
      <c r="K250" t="s">
        <v>229</v>
      </c>
    </row>
    <row r="251" spans="11:18" x14ac:dyDescent="0.3">
      <c r="K251" t="s">
        <v>230</v>
      </c>
    </row>
    <row r="252" spans="11:18" x14ac:dyDescent="0.3">
      <c r="K252" t="s">
        <v>231</v>
      </c>
    </row>
    <row r="253" spans="11:18" x14ac:dyDescent="0.3">
      <c r="K253" t="s">
        <v>232</v>
      </c>
    </row>
    <row r="254" spans="11:18" x14ac:dyDescent="0.3">
      <c r="K254" t="s">
        <v>233</v>
      </c>
    </row>
    <row r="257" spans="11:18" x14ac:dyDescent="0.3">
      <c r="K257" t="s">
        <v>234</v>
      </c>
    </row>
    <row r="258" spans="11:18" x14ac:dyDescent="0.3">
      <c r="K258" t="s">
        <v>74</v>
      </c>
      <c r="L258" t="s">
        <v>75</v>
      </c>
      <c r="M258" t="s">
        <v>76</v>
      </c>
      <c r="N258" t="s">
        <v>77</v>
      </c>
      <c r="O258" t="s">
        <v>78</v>
      </c>
      <c r="P258" t="s">
        <v>79</v>
      </c>
      <c r="Q258" t="s">
        <v>80</v>
      </c>
      <c r="R258" t="s">
        <v>81</v>
      </c>
    </row>
    <row r="259" spans="11:18" x14ac:dyDescent="0.3">
      <c r="K259">
        <v>38.890999999999998</v>
      </c>
      <c r="L259">
        <v>34.527999999999999</v>
      </c>
      <c r="M259">
        <v>1270</v>
      </c>
      <c r="N259">
        <v>0.69</v>
      </c>
      <c r="O259">
        <v>5.3819999999999997</v>
      </c>
      <c r="P259">
        <v>4.7300000000000004</v>
      </c>
      <c r="Q259">
        <v>36.268999999999998</v>
      </c>
      <c r="R259">
        <v>99.5</v>
      </c>
    </row>
    <row r="260" spans="11:18" x14ac:dyDescent="0.3">
      <c r="K260">
        <v>38.890999999999998</v>
      </c>
      <c r="L260">
        <v>34.021999999999998</v>
      </c>
      <c r="M260">
        <v>1018</v>
      </c>
      <c r="N260">
        <v>0.156</v>
      </c>
      <c r="O260">
        <v>13.676</v>
      </c>
      <c r="P260">
        <v>9.0920000000000005</v>
      </c>
      <c r="Q260">
        <v>72.415000000000006</v>
      </c>
      <c r="R260">
        <v>116.5</v>
      </c>
    </row>
    <row r="261" spans="11:18" x14ac:dyDescent="0.3">
      <c r="K261">
        <v>39.01</v>
      </c>
      <c r="L261">
        <v>34.83</v>
      </c>
      <c r="M261">
        <v>1178</v>
      </c>
      <c r="N261">
        <v>0.18</v>
      </c>
      <c r="O261">
        <v>21.454000000000001</v>
      </c>
      <c r="P261">
        <v>7.5330000000000004</v>
      </c>
      <c r="Q261">
        <v>16.114999999999998</v>
      </c>
      <c r="R261">
        <v>118.5</v>
      </c>
    </row>
    <row r="262" spans="11:18" x14ac:dyDescent="0.3">
      <c r="K262">
        <v>38.93</v>
      </c>
      <c r="L262">
        <v>34.549999999999997</v>
      </c>
      <c r="M262">
        <v>1241</v>
      </c>
      <c r="N262">
        <v>0.38400000000000001</v>
      </c>
      <c r="O262">
        <v>9.1199999999999992</v>
      </c>
      <c r="P262">
        <v>21.158999999999999</v>
      </c>
      <c r="Q262">
        <v>31.683</v>
      </c>
      <c r="R262">
        <v>121</v>
      </c>
    </row>
    <row r="263" spans="11:18" x14ac:dyDescent="0.3">
      <c r="K263">
        <v>39.15</v>
      </c>
      <c r="L263">
        <v>35.286000000000001</v>
      </c>
      <c r="M263">
        <v>1145</v>
      </c>
      <c r="N263">
        <v>0.441</v>
      </c>
      <c r="O263">
        <v>16.812999999999999</v>
      </c>
      <c r="P263">
        <v>5.399</v>
      </c>
      <c r="Q263">
        <v>44.32</v>
      </c>
      <c r="R263">
        <v>125.5</v>
      </c>
    </row>
    <row r="264" spans="11:18" x14ac:dyDescent="0.3">
      <c r="K264">
        <v>38.890999999999998</v>
      </c>
      <c r="L264">
        <v>35.033000000000001</v>
      </c>
      <c r="M264">
        <v>1235</v>
      </c>
      <c r="N264">
        <v>0.54400000000000004</v>
      </c>
      <c r="O264">
        <v>9.5350000000000001</v>
      </c>
      <c r="P264">
        <v>22.167000000000002</v>
      </c>
      <c r="Q264">
        <v>36.268999999999998</v>
      </c>
      <c r="R264">
        <v>147.5</v>
      </c>
    </row>
    <row r="265" spans="11:18" x14ac:dyDescent="0.3">
      <c r="K265">
        <v>38.890999999999998</v>
      </c>
      <c r="L265">
        <v>34.274999999999999</v>
      </c>
      <c r="M265">
        <v>902</v>
      </c>
      <c r="N265">
        <v>0.85899999999999999</v>
      </c>
      <c r="O265">
        <v>2.9289999999999998</v>
      </c>
      <c r="P265">
        <v>24.498999999999999</v>
      </c>
      <c r="Q265">
        <v>52.807000000000002</v>
      </c>
      <c r="R265">
        <v>154.5</v>
      </c>
    </row>
    <row r="266" spans="11:18" x14ac:dyDescent="0.3">
      <c r="K266">
        <v>38.950000000000003</v>
      </c>
      <c r="L266">
        <v>34.79</v>
      </c>
      <c r="M266">
        <v>1310</v>
      </c>
      <c r="N266">
        <v>0.872</v>
      </c>
      <c r="O266">
        <v>15.468</v>
      </c>
      <c r="P266">
        <v>7.5330000000000004</v>
      </c>
      <c r="Q266">
        <v>22.2</v>
      </c>
      <c r="R266">
        <v>155.5</v>
      </c>
    </row>
    <row r="267" spans="11:18" x14ac:dyDescent="0.3">
      <c r="K267">
        <v>38.890999999999998</v>
      </c>
      <c r="L267">
        <v>34.78</v>
      </c>
      <c r="M267">
        <v>1200</v>
      </c>
      <c r="N267">
        <v>1.2130000000000001</v>
      </c>
      <c r="O267">
        <v>10.265000000000001</v>
      </c>
      <c r="P267">
        <v>6.5810000000000004</v>
      </c>
      <c r="Q267">
        <v>28.712</v>
      </c>
      <c r="R267">
        <v>158.5</v>
      </c>
    </row>
    <row r="268" spans="11:18" x14ac:dyDescent="0.3">
      <c r="K268">
        <v>38.633000000000003</v>
      </c>
      <c r="L268">
        <v>34.274999999999999</v>
      </c>
      <c r="M268">
        <v>1119</v>
      </c>
      <c r="N268">
        <v>0.45700000000000002</v>
      </c>
      <c r="O268">
        <v>21.81</v>
      </c>
      <c r="P268">
        <v>2.8620000000000001</v>
      </c>
      <c r="Q268">
        <v>72.537999999999997</v>
      </c>
      <c r="R268">
        <v>167</v>
      </c>
    </row>
    <row r="269" spans="11:18" x14ac:dyDescent="0.3">
      <c r="K269" t="s">
        <v>235</v>
      </c>
    </row>
    <row r="270" spans="11:18" x14ac:dyDescent="0.3">
      <c r="K270" t="s">
        <v>236</v>
      </c>
    </row>
    <row r="271" spans="11:18" x14ac:dyDescent="0.3">
      <c r="K271" t="s">
        <v>237</v>
      </c>
    </row>
    <row r="272" spans="11:18" x14ac:dyDescent="0.3">
      <c r="K272" t="s">
        <v>238</v>
      </c>
    </row>
    <row r="273" spans="11:11" x14ac:dyDescent="0.3">
      <c r="K273" t="s">
        <v>239</v>
      </c>
    </row>
    <row r="274" spans="11:11" x14ac:dyDescent="0.3">
      <c r="K274" t="s">
        <v>240</v>
      </c>
    </row>
    <row r="275" spans="11:11" x14ac:dyDescent="0.3">
      <c r="K275" t="s">
        <v>241</v>
      </c>
    </row>
    <row r="276" spans="11:11" x14ac:dyDescent="0.3">
      <c r="K276" t="s">
        <v>242</v>
      </c>
    </row>
    <row r="277" spans="11:11" x14ac:dyDescent="0.3">
      <c r="K277" t="s">
        <v>243</v>
      </c>
    </row>
    <row r="278" spans="11:11" x14ac:dyDescent="0.3">
      <c r="K278" t="s">
        <v>244</v>
      </c>
    </row>
    <row r="279" spans="11:11" x14ac:dyDescent="0.3">
      <c r="K279" t="s">
        <v>245</v>
      </c>
    </row>
    <row r="280" spans="11:11" x14ac:dyDescent="0.3">
      <c r="K280" t="s">
        <v>246</v>
      </c>
    </row>
    <row r="281" spans="11:11" x14ac:dyDescent="0.3">
      <c r="K281" t="s">
        <v>247</v>
      </c>
    </row>
    <row r="282" spans="11:11" x14ac:dyDescent="0.3">
      <c r="K282" t="s">
        <v>248</v>
      </c>
    </row>
    <row r="283" spans="11:11" x14ac:dyDescent="0.3">
      <c r="K283" t="s">
        <v>249</v>
      </c>
    </row>
    <row r="284" spans="11:11" x14ac:dyDescent="0.3">
      <c r="K284" t="s">
        <v>250</v>
      </c>
    </row>
    <row r="285" spans="11:11" x14ac:dyDescent="0.3">
      <c r="K285" t="s">
        <v>251</v>
      </c>
    </row>
    <row r="286" spans="11:11" x14ac:dyDescent="0.3">
      <c r="K286" t="s">
        <v>252</v>
      </c>
    </row>
    <row r="287" spans="11:11" x14ac:dyDescent="0.3">
      <c r="K287" t="s">
        <v>253</v>
      </c>
    </row>
    <row r="288" spans="11:11" x14ac:dyDescent="0.3">
      <c r="K288" t="s">
        <v>254</v>
      </c>
    </row>
    <row r="289" spans="11:18" x14ac:dyDescent="0.3">
      <c r="K289" t="s">
        <v>255</v>
      </c>
    </row>
    <row r="290" spans="11:18" x14ac:dyDescent="0.3">
      <c r="K290" t="s">
        <v>256</v>
      </c>
    </row>
    <row r="293" spans="11:18" x14ac:dyDescent="0.3">
      <c r="K293" t="s">
        <v>257</v>
      </c>
    </row>
    <row r="294" spans="11:18" x14ac:dyDescent="0.3">
      <c r="K294" t="s">
        <v>74</v>
      </c>
      <c r="L294" t="s">
        <v>75</v>
      </c>
      <c r="M294" t="s">
        <v>76</v>
      </c>
      <c r="N294" t="s">
        <v>77</v>
      </c>
      <c r="O294" t="s">
        <v>78</v>
      </c>
      <c r="P294" t="s">
        <v>79</v>
      </c>
      <c r="Q294" t="s">
        <v>80</v>
      </c>
      <c r="R294" t="s">
        <v>81</v>
      </c>
    </row>
    <row r="295" spans="11:18" x14ac:dyDescent="0.3">
      <c r="K295">
        <v>39.021999999999998</v>
      </c>
      <c r="L295">
        <v>35.213999999999999</v>
      </c>
      <c r="M295">
        <v>1199</v>
      </c>
      <c r="N295">
        <v>0.217</v>
      </c>
      <c r="O295">
        <v>10.18</v>
      </c>
      <c r="P295">
        <v>16.518000000000001</v>
      </c>
      <c r="Q295">
        <v>30.689</v>
      </c>
      <c r="R295">
        <v>98.5</v>
      </c>
    </row>
    <row r="296" spans="11:18" x14ac:dyDescent="0.3">
      <c r="K296">
        <v>39.021999999999998</v>
      </c>
      <c r="L296">
        <v>34.819000000000003</v>
      </c>
      <c r="M296">
        <v>1178</v>
      </c>
      <c r="N296">
        <v>0.18</v>
      </c>
      <c r="O296">
        <v>22.196000000000002</v>
      </c>
      <c r="P296">
        <v>1.6539999999999999</v>
      </c>
      <c r="Q296">
        <v>36.633000000000003</v>
      </c>
      <c r="R296">
        <v>103</v>
      </c>
    </row>
    <row r="297" spans="11:18" x14ac:dyDescent="0.3">
      <c r="K297">
        <v>39.01</v>
      </c>
      <c r="L297">
        <v>34.83</v>
      </c>
      <c r="M297">
        <v>1178</v>
      </c>
      <c r="N297">
        <v>0.18</v>
      </c>
      <c r="O297">
        <v>21.454000000000001</v>
      </c>
      <c r="P297">
        <v>7.5330000000000004</v>
      </c>
      <c r="Q297">
        <v>37.064999999999998</v>
      </c>
      <c r="R297">
        <v>112</v>
      </c>
    </row>
    <row r="298" spans="11:18" x14ac:dyDescent="0.3">
      <c r="K298">
        <v>38.893999999999998</v>
      </c>
      <c r="L298">
        <v>34.950000000000003</v>
      </c>
      <c r="M298">
        <v>1254</v>
      </c>
      <c r="N298">
        <v>0.157</v>
      </c>
      <c r="O298">
        <v>12.209</v>
      </c>
      <c r="P298">
        <v>15.379</v>
      </c>
      <c r="Q298">
        <v>44.185000000000002</v>
      </c>
      <c r="R298">
        <v>115.5</v>
      </c>
    </row>
    <row r="299" spans="11:18" x14ac:dyDescent="0.3">
      <c r="K299">
        <v>39.15</v>
      </c>
      <c r="L299">
        <v>35.213999999999999</v>
      </c>
      <c r="M299">
        <v>1187</v>
      </c>
      <c r="N299">
        <v>0.79</v>
      </c>
      <c r="O299">
        <v>19.146999999999998</v>
      </c>
      <c r="P299">
        <v>2.6509999999999998</v>
      </c>
      <c r="Q299">
        <v>18.317</v>
      </c>
      <c r="R299">
        <v>138.5</v>
      </c>
    </row>
    <row r="300" spans="11:18" x14ac:dyDescent="0.3">
      <c r="K300">
        <v>39.021999999999998</v>
      </c>
      <c r="L300">
        <v>34.950000000000003</v>
      </c>
      <c r="M300">
        <v>1171</v>
      </c>
      <c r="N300">
        <v>0.45200000000000001</v>
      </c>
      <c r="O300">
        <v>23.094999999999999</v>
      </c>
      <c r="P300">
        <v>10.635999999999999</v>
      </c>
      <c r="Q300">
        <v>30.689</v>
      </c>
      <c r="R300">
        <v>142.5</v>
      </c>
    </row>
    <row r="301" spans="11:18" x14ac:dyDescent="0.3">
      <c r="K301">
        <v>39.021999999999998</v>
      </c>
      <c r="L301">
        <v>34.686999999999998</v>
      </c>
      <c r="M301">
        <v>1157</v>
      </c>
      <c r="N301">
        <v>0.18099999999999999</v>
      </c>
      <c r="O301">
        <v>21.396999999999998</v>
      </c>
      <c r="P301">
        <v>12.061999999999999</v>
      </c>
      <c r="Q301">
        <v>44.822000000000003</v>
      </c>
      <c r="R301">
        <v>142.5</v>
      </c>
    </row>
    <row r="302" spans="11:18" x14ac:dyDescent="0.3">
      <c r="K302">
        <v>39.15</v>
      </c>
      <c r="L302">
        <v>35.345999999999997</v>
      </c>
      <c r="M302">
        <v>1185</v>
      </c>
      <c r="N302">
        <v>0.71399999999999997</v>
      </c>
      <c r="O302">
        <v>15.627000000000001</v>
      </c>
      <c r="P302">
        <v>10.378</v>
      </c>
      <c r="Q302">
        <v>27.123999999999999</v>
      </c>
      <c r="R302">
        <v>143.5</v>
      </c>
    </row>
    <row r="303" spans="11:18" x14ac:dyDescent="0.3">
      <c r="K303">
        <v>39.021999999999998</v>
      </c>
      <c r="L303">
        <v>35.082000000000001</v>
      </c>
      <c r="M303">
        <v>1116</v>
      </c>
      <c r="N303">
        <v>0.27100000000000002</v>
      </c>
      <c r="O303">
        <v>18.067</v>
      </c>
      <c r="P303">
        <v>20.952000000000002</v>
      </c>
      <c r="Q303">
        <v>28.431999999999999</v>
      </c>
      <c r="R303">
        <v>146.5</v>
      </c>
    </row>
    <row r="304" spans="11:18" x14ac:dyDescent="0.3">
      <c r="K304">
        <v>38.765999999999998</v>
      </c>
      <c r="L304">
        <v>34.819000000000003</v>
      </c>
      <c r="M304">
        <v>1165</v>
      </c>
      <c r="N304">
        <v>0.29699999999999999</v>
      </c>
      <c r="O304">
        <v>1.3819999999999999</v>
      </c>
      <c r="P304">
        <v>20.599</v>
      </c>
      <c r="Q304">
        <v>61.378</v>
      </c>
      <c r="R304">
        <v>155.5</v>
      </c>
    </row>
    <row r="305" spans="11:11" x14ac:dyDescent="0.3">
      <c r="K305" t="s">
        <v>85</v>
      </c>
    </row>
    <row r="306" spans="11:11" x14ac:dyDescent="0.3">
      <c r="K306" t="s">
        <v>258</v>
      </c>
    </row>
    <row r="307" spans="11:11" x14ac:dyDescent="0.3">
      <c r="K307" t="s">
        <v>259</v>
      </c>
    </row>
    <row r="308" spans="11:11" x14ac:dyDescent="0.3">
      <c r="K308" t="s">
        <v>260</v>
      </c>
    </row>
    <row r="309" spans="11:11" x14ac:dyDescent="0.3">
      <c r="K309" t="s">
        <v>261</v>
      </c>
    </row>
    <row r="310" spans="11:11" x14ac:dyDescent="0.3">
      <c r="K310" t="s">
        <v>262</v>
      </c>
    </row>
    <row r="311" spans="11:11" x14ac:dyDescent="0.3">
      <c r="K311" t="s">
        <v>263</v>
      </c>
    </row>
    <row r="312" spans="11:11" x14ac:dyDescent="0.3">
      <c r="K312" t="s">
        <v>264</v>
      </c>
    </row>
    <row r="313" spans="11:11" x14ac:dyDescent="0.3">
      <c r="K313" t="s">
        <v>265</v>
      </c>
    </row>
    <row r="314" spans="11:11" x14ac:dyDescent="0.3">
      <c r="K314" t="s">
        <v>266</v>
      </c>
    </row>
  </sheetData>
  <mergeCells count="2">
    <mergeCell ref="B5:H5"/>
    <mergeCell ref="K5:R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FFE6-D735-4ABF-9FEA-FED1826ED7EA}">
  <dimension ref="A1:B12"/>
  <sheetViews>
    <sheetView topLeftCell="A4" workbookViewId="0">
      <selection activeCell="B28" sqref="B28"/>
    </sheetView>
  </sheetViews>
  <sheetFormatPr defaultRowHeight="14.4" x14ac:dyDescent="0.3"/>
  <cols>
    <col min="1" max="1" width="13.21875" bestFit="1" customWidth="1"/>
  </cols>
  <sheetData>
    <row r="1" spans="1:2" x14ac:dyDescent="0.3">
      <c r="A1" t="s">
        <v>30</v>
      </c>
    </row>
    <row r="2" spans="1:2" x14ac:dyDescent="0.3">
      <c r="A2" t="s">
        <v>31</v>
      </c>
      <c r="B2" s="39">
        <v>1.0304976851851853</v>
      </c>
    </row>
    <row r="3" spans="1:2" x14ac:dyDescent="0.3">
      <c r="A3" t="s">
        <v>32</v>
      </c>
      <c r="B3" s="39">
        <v>7.1875000000000003E-3</v>
      </c>
    </row>
    <row r="4" spans="1:2" x14ac:dyDescent="0.3">
      <c r="A4" t="s">
        <v>71</v>
      </c>
      <c r="B4" s="34">
        <v>0.1451388888888889</v>
      </c>
    </row>
    <row r="5" spans="1:2" x14ac:dyDescent="0.3">
      <c r="A5" t="s">
        <v>70</v>
      </c>
      <c r="B5" s="34">
        <v>0.18055555555555555</v>
      </c>
    </row>
    <row r="10" spans="1:2" x14ac:dyDescent="0.3">
      <c r="A10" t="s">
        <v>33</v>
      </c>
    </row>
    <row r="11" spans="1:2" x14ac:dyDescent="0.3">
      <c r="A11" t="s">
        <v>31</v>
      </c>
      <c r="B11" s="39">
        <v>1.017048611111111</v>
      </c>
    </row>
    <row r="12" spans="1:2" x14ac:dyDescent="0.3">
      <c r="A12" t="s">
        <v>32</v>
      </c>
      <c r="B12" s="39">
        <v>5.2256944444444446E-2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Predictions</vt:lpstr>
      <vt:lpstr>Candidate Sites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MALKIMX</dc:creator>
  <cp:lastModifiedBy>Alkım Bümen</cp:lastModifiedBy>
  <dcterms:created xsi:type="dcterms:W3CDTF">2015-06-05T18:17:20Z</dcterms:created>
  <dcterms:modified xsi:type="dcterms:W3CDTF">2026-08-25T14:01:00Z</dcterms:modified>
</cp:coreProperties>
</file>