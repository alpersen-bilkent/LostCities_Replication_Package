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Users/ke.3747/Desktop/data_for_roadknots/"/>
    </mc:Choice>
  </mc:AlternateContent>
  <bookViews>
    <workbookView xWindow="0" yWindow="460" windowWidth="25600" windowHeight="14580" tabRatio="500" activeTab="1"/>
  </bookViews>
  <sheets>
    <sheet name="Sheet1" sheetId="1" r:id="rId1"/>
    <sheet name="Sheet2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E15" i="1"/>
  <c r="E22" i="1"/>
  <c r="D22" i="1"/>
  <c r="E19" i="1"/>
  <c r="D19" i="1"/>
  <c r="E18" i="1"/>
  <c r="D18" i="1"/>
  <c r="E17" i="1"/>
  <c r="D17" i="1"/>
  <c r="E16" i="1"/>
  <c r="D16" i="1"/>
  <c r="D15" i="1"/>
  <c r="E14" i="1"/>
  <c r="D14" i="1"/>
  <c r="E47" i="1"/>
  <c r="D47" i="1"/>
  <c r="E46" i="1"/>
  <c r="D46" i="1"/>
  <c r="E45" i="1"/>
  <c r="D45" i="1"/>
  <c r="E44" i="1"/>
  <c r="D44" i="1"/>
  <c r="E43" i="1"/>
  <c r="D43" i="1"/>
  <c r="E41" i="1"/>
  <c r="D41" i="1"/>
  <c r="E40" i="1"/>
  <c r="D40" i="1"/>
  <c r="E39" i="1"/>
  <c r="D39" i="1"/>
  <c r="E37" i="1"/>
  <c r="D37" i="1"/>
  <c r="E36" i="1"/>
  <c r="D36" i="1"/>
  <c r="E35" i="1"/>
  <c r="D35" i="1"/>
  <c r="E34" i="1"/>
  <c r="D34" i="1"/>
  <c r="E3" i="1"/>
  <c r="E4" i="1"/>
  <c r="E5" i="1"/>
  <c r="D5" i="1"/>
  <c r="D4" i="1"/>
  <c r="D3" i="1"/>
  <c r="E32" i="1"/>
  <c r="D32" i="1"/>
  <c r="E31" i="1"/>
  <c r="D31" i="1"/>
  <c r="E30" i="1"/>
  <c r="D30" i="1"/>
  <c r="E29" i="1"/>
  <c r="D29" i="1"/>
  <c r="D28" i="1"/>
  <c r="E28" i="1"/>
  <c r="D27" i="1"/>
  <c r="E27" i="1"/>
  <c r="E26" i="1"/>
  <c r="D26" i="1"/>
  <c r="E25" i="1"/>
  <c r="D25" i="1"/>
  <c r="D24" i="1"/>
  <c r="D23" i="1"/>
  <c r="E23" i="1"/>
  <c r="E24" i="1"/>
  <c r="D21" i="1"/>
  <c r="E21" i="1"/>
  <c r="D20" i="1"/>
  <c r="E20" i="1"/>
  <c r="E13" i="1"/>
  <c r="D13" i="1"/>
  <c r="E12" i="1"/>
  <c r="D12" i="1"/>
  <c r="E11" i="1"/>
  <c r="D11" i="1"/>
  <c r="E10" i="1"/>
  <c r="D10" i="1"/>
  <c r="D9" i="1"/>
  <c r="E9" i="1"/>
  <c r="D7" i="1"/>
  <c r="E7" i="1"/>
  <c r="E6" i="1"/>
  <c r="D6" i="1"/>
  <c r="E2" i="1"/>
  <c r="D2" i="1"/>
</calcChain>
</file>

<file path=xl/sharedStrings.xml><?xml version="1.0" encoding="utf-8"?>
<sst xmlns="http://schemas.openxmlformats.org/spreadsheetml/2006/main" count="127" uniqueCount="75">
  <si>
    <t>Pınarbaşı</t>
  </si>
  <si>
    <t>Kızılhan  (1)</t>
  </si>
  <si>
    <t>Bostanlık  (1)</t>
  </si>
  <si>
    <t>Bakırdağı  (1)</t>
  </si>
  <si>
    <t>_X</t>
  </si>
  <si>
    <t>_Y</t>
  </si>
  <si>
    <t>rivername</t>
  </si>
  <si>
    <t>Yenice Irmak (Seyhan)</t>
  </si>
  <si>
    <t>Seyhan</t>
  </si>
  <si>
    <t>Kozan</t>
  </si>
  <si>
    <t>Çömlük  (1)</t>
  </si>
  <si>
    <t xml:space="preserve">Çatalan  </t>
  </si>
  <si>
    <t>Adana</t>
  </si>
  <si>
    <t>Everywhere below</t>
  </si>
  <si>
    <t>Ceyhan</t>
  </si>
  <si>
    <t>Maras</t>
  </si>
  <si>
    <t>No complete river line in shapefiles -- cannot build a barrier across Ceyhan</t>
  </si>
  <si>
    <t>Firat</t>
  </si>
  <si>
    <t>Keban and everywhere above</t>
  </si>
  <si>
    <t>Malatya</t>
  </si>
  <si>
    <t>Samsat</t>
  </si>
  <si>
    <t>Birecik-Halfeti</t>
  </si>
  <si>
    <t>Kizilirmak</t>
  </si>
  <si>
    <t>Zara</t>
  </si>
  <si>
    <t>Hafik</t>
  </si>
  <si>
    <t>Sivas</t>
  </si>
  <si>
    <t xml:space="preserve">Bozkurt </t>
  </si>
  <si>
    <t>Şarkışla</t>
  </si>
  <si>
    <t xml:space="preserve">Ortaköy </t>
  </si>
  <si>
    <t xml:space="preserve">Gemerek </t>
  </si>
  <si>
    <t xml:space="preserve">Kemer </t>
  </si>
  <si>
    <t>Kayseri</t>
  </si>
  <si>
    <t>Nevsehir</t>
  </si>
  <si>
    <t>Avanos-Gülşehir</t>
  </si>
  <si>
    <t>Kirsehir</t>
  </si>
  <si>
    <t>Kesikköprü</t>
  </si>
  <si>
    <t>Karakeçili</t>
  </si>
  <si>
    <t>Köprüköy</t>
  </si>
  <si>
    <t>Kirikkale</t>
  </si>
  <si>
    <t>Osmancik</t>
  </si>
  <si>
    <t>Corum</t>
  </si>
  <si>
    <t>Samsun</t>
  </si>
  <si>
    <t>Sinop</t>
  </si>
  <si>
    <t>Duragan-Vezirköprü</t>
  </si>
  <si>
    <t>Kolay</t>
  </si>
  <si>
    <t>Murat</t>
  </si>
  <si>
    <t>Elazığ</t>
  </si>
  <si>
    <t>Palu</t>
  </si>
  <si>
    <t xml:space="preserve">Bingöl </t>
  </si>
  <si>
    <t>Genç</t>
  </si>
  <si>
    <t>Muş</t>
  </si>
  <si>
    <t>Taşoluk</t>
  </si>
  <si>
    <t>Yoncali</t>
  </si>
  <si>
    <t>Malazgirt</t>
  </si>
  <si>
    <t>everywhere above</t>
  </si>
  <si>
    <t>Kelkit</t>
  </si>
  <si>
    <t>Amasya</t>
  </si>
  <si>
    <t>Taşova-Erbaa</t>
  </si>
  <si>
    <t>Niksar</t>
  </si>
  <si>
    <t>Everywhere above</t>
  </si>
  <si>
    <t>Resadiye</t>
  </si>
  <si>
    <t>Tokat</t>
  </si>
  <si>
    <t>Turhal</t>
  </si>
  <si>
    <t>Almus</t>
  </si>
  <si>
    <t>Yesilirmak</t>
  </si>
  <si>
    <t>Sakarya</t>
  </si>
  <si>
    <t>Ankara</t>
  </si>
  <si>
    <t xml:space="preserve">Çayırhan </t>
  </si>
  <si>
    <t>Tatlikuyu</t>
  </si>
  <si>
    <t>Eskişehir</t>
  </si>
  <si>
    <t>İlyaspaşa-Gülçayır</t>
  </si>
  <si>
    <t>Porsuk</t>
  </si>
  <si>
    <t>Yunusemre</t>
  </si>
  <si>
    <t>crossing_X</t>
  </si>
  <si>
    <t>crossing_Y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</si>
</sst>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2" fontId="1" fillId="0" borderId="0" xfId="0" applyNumberFormat="1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="140" zoomScaleNormal="140" zoomScalePageLayoutView="140" workbookViewId="0">
      <selection activeCell="D45" sqref="D45"/>
    </sheetView>
  </sheetViews>
  <sheetFormatPr baseColWidth="10" defaultRowHeight="16" x14ac:dyDescent="0.2"/>
  <cols>
    <col min="1" max="1" width="19" bestFit="1" customWidth="1"/>
    <col min="3" max="3" width="25.5" bestFit="1" customWidth="1"/>
  </cols>
  <sheetData>
    <row r="1" spans="1:6" x14ac:dyDescent="0.2">
      <c r="A1" t="s">
        <v>6</v>
      </c>
      <c r="D1" t="s">
        <v>4</v>
      </c>
      <c r="E1" t="s">
        <v>5</v>
      </c>
    </row>
    <row r="2" spans="1:6" x14ac:dyDescent="0.2">
      <c r="A2" t="s">
        <v>7</v>
      </c>
      <c r="B2" s="1" t="s">
        <v>0</v>
      </c>
      <c r="C2" s="1" t="s">
        <v>1</v>
      </c>
      <c r="D2">
        <f>36+14/60</f>
        <v>36.233333333333334</v>
      </c>
      <c r="E2">
        <f>38+4/6</f>
        <v>38.666666666666664</v>
      </c>
    </row>
    <row r="3" spans="1:6" x14ac:dyDescent="0.2">
      <c r="C3" s="1" t="s">
        <v>2</v>
      </c>
      <c r="D3">
        <f>35+59/60</f>
        <v>35.983333333333334</v>
      </c>
      <c r="E3">
        <f>38+25/60</f>
        <v>38.416666666666664</v>
      </c>
    </row>
    <row r="4" spans="1:6" x14ac:dyDescent="0.2">
      <c r="C4" s="1" t="s">
        <v>3</v>
      </c>
      <c r="D4">
        <f>35+47/60</f>
        <v>35.783333333333331</v>
      </c>
      <c r="E4">
        <f>38+13/60</f>
        <v>38.216666666666669</v>
      </c>
    </row>
    <row r="5" spans="1:6" x14ac:dyDescent="0.2">
      <c r="A5" t="s">
        <v>8</v>
      </c>
      <c r="B5" t="s">
        <v>9</v>
      </c>
      <c r="C5" s="1" t="s">
        <v>10</v>
      </c>
      <c r="D5">
        <f>35+46/60</f>
        <v>35.766666666666666</v>
      </c>
      <c r="E5">
        <f>37+42/60</f>
        <v>37.700000000000003</v>
      </c>
    </row>
    <row r="6" spans="1:6" x14ac:dyDescent="0.2">
      <c r="C6" s="1" t="s">
        <v>11</v>
      </c>
      <c r="D6" s="2">
        <f>35+17/60</f>
        <v>35.283333333333331</v>
      </c>
      <c r="E6">
        <f>37+12/60</f>
        <v>37.200000000000003</v>
      </c>
    </row>
    <row r="7" spans="1:6" x14ac:dyDescent="0.2">
      <c r="C7" s="1" t="s">
        <v>12</v>
      </c>
      <c r="D7">
        <f>35+20/60</f>
        <v>35.333333333333336</v>
      </c>
      <c r="E7">
        <f>36+59/60</f>
        <v>36.983333333333334</v>
      </c>
    </row>
    <row r="8" spans="1:6" x14ac:dyDescent="0.2">
      <c r="C8" s="1" t="s">
        <v>13</v>
      </c>
    </row>
    <row r="9" spans="1:6" x14ac:dyDescent="0.2">
      <c r="A9" t="s">
        <v>14</v>
      </c>
      <c r="C9" s="1" t="s">
        <v>15</v>
      </c>
      <c r="D9">
        <f>36+55/60</f>
        <v>36.916666666666664</v>
      </c>
      <c r="E9">
        <f>37+34/60</f>
        <v>37.56666666666667</v>
      </c>
      <c r="F9" t="s">
        <v>16</v>
      </c>
    </row>
    <row r="10" spans="1:6" x14ac:dyDescent="0.2">
      <c r="A10" t="s">
        <v>17</v>
      </c>
      <c r="C10" s="1" t="s">
        <v>18</v>
      </c>
      <c r="D10">
        <f>38+44/60</f>
        <v>38.733333333333334</v>
      </c>
      <c r="E10">
        <f>38+48/60</f>
        <v>38.799999999999997</v>
      </c>
    </row>
    <row r="11" spans="1:6" x14ac:dyDescent="0.2">
      <c r="C11" s="1" t="s">
        <v>19</v>
      </c>
      <c r="D11">
        <f>38+27/60</f>
        <v>38.450000000000003</v>
      </c>
      <c r="E11">
        <f>38+29/60</f>
        <v>38.483333333333334</v>
      </c>
    </row>
    <row r="12" spans="1:6" x14ac:dyDescent="0.2">
      <c r="C12" s="1" t="s">
        <v>20</v>
      </c>
      <c r="D12">
        <f>38+28/60</f>
        <v>38.466666666666669</v>
      </c>
      <c r="E12">
        <f>37+34/60</f>
        <v>37.56666666666667</v>
      </c>
    </row>
    <row r="13" spans="1:6" x14ac:dyDescent="0.2">
      <c r="C13" s="1" t="s">
        <v>21</v>
      </c>
      <c r="D13">
        <f>37+52/60</f>
        <v>37.866666666666667</v>
      </c>
      <c r="E13">
        <f>37+8/60</f>
        <v>37.133333333333333</v>
      </c>
    </row>
    <row r="14" spans="1:6" x14ac:dyDescent="0.2">
      <c r="A14" s="3" t="s">
        <v>22</v>
      </c>
      <c r="B14" s="3"/>
      <c r="C14" s="4" t="s">
        <v>23</v>
      </c>
      <c r="D14" s="3">
        <f>37+45/60</f>
        <v>37.75</v>
      </c>
      <c r="E14" s="3">
        <f>39+54/60</f>
        <v>39.9</v>
      </c>
    </row>
    <row r="15" spans="1:6" x14ac:dyDescent="0.2">
      <c r="A15" s="3"/>
      <c r="B15" s="3"/>
      <c r="C15" s="4" t="s">
        <v>24</v>
      </c>
      <c r="D15" s="3">
        <f>37+23/60</f>
        <v>37.383333333333333</v>
      </c>
      <c r="E15" s="3">
        <f>39+50/60</f>
        <v>39.833333333333336</v>
      </c>
    </row>
    <row r="16" spans="1:6" x14ac:dyDescent="0.2">
      <c r="A16" s="3"/>
      <c r="B16" s="3"/>
      <c r="C16" s="4" t="s">
        <v>25</v>
      </c>
      <c r="D16" s="3">
        <f>37</f>
        <v>37</v>
      </c>
      <c r="E16" s="3">
        <f>39+44/60</f>
        <v>39.733333333333334</v>
      </c>
    </row>
    <row r="17" spans="1:5" x14ac:dyDescent="0.2">
      <c r="A17" s="3"/>
      <c r="B17" s="4" t="s">
        <v>27</v>
      </c>
      <c r="C17" s="3" t="s">
        <v>26</v>
      </c>
      <c r="D17" s="3">
        <f>36+23/60</f>
        <v>36.383333333333333</v>
      </c>
      <c r="E17" s="3">
        <f>39+30/60</f>
        <v>39.5</v>
      </c>
    </row>
    <row r="18" spans="1:5" x14ac:dyDescent="0.2">
      <c r="A18" s="3"/>
      <c r="B18" s="3"/>
      <c r="C18" s="4" t="s">
        <v>28</v>
      </c>
      <c r="D18" s="3">
        <f>36+15/60</f>
        <v>36.25</v>
      </c>
      <c r="E18" s="3">
        <f>39+23/60</f>
        <v>39.383333333333333</v>
      </c>
    </row>
    <row r="19" spans="1:5" x14ac:dyDescent="0.2">
      <c r="A19" s="3"/>
      <c r="B19" s="3" t="s">
        <v>29</v>
      </c>
      <c r="C19" s="3" t="s">
        <v>29</v>
      </c>
      <c r="D19" s="3">
        <f>35+56/60</f>
        <v>35.93333333333333</v>
      </c>
      <c r="E19" s="3">
        <f>39+11/60</f>
        <v>39.18333333333333</v>
      </c>
    </row>
    <row r="20" spans="1:5" x14ac:dyDescent="0.2">
      <c r="A20" s="3"/>
      <c r="B20" s="3" t="s">
        <v>31</v>
      </c>
      <c r="C20" s="3" t="s">
        <v>30</v>
      </c>
      <c r="D20" s="3">
        <f>35+23/60</f>
        <v>35.383333333333333</v>
      </c>
      <c r="E20" s="3">
        <f>38+56/60</f>
        <v>38.93333333333333</v>
      </c>
    </row>
    <row r="21" spans="1:5" x14ac:dyDescent="0.2">
      <c r="A21" s="3"/>
      <c r="B21" s="3" t="s">
        <v>32</v>
      </c>
      <c r="C21" s="3" t="s">
        <v>33</v>
      </c>
      <c r="D21" s="3">
        <f>34+50/60</f>
        <v>34.833333333333336</v>
      </c>
      <c r="E21" s="3">
        <f>38+43/60</f>
        <v>38.716666666666669</v>
      </c>
    </row>
    <row r="22" spans="1:5" x14ac:dyDescent="0.2">
      <c r="A22" s="3"/>
      <c r="B22" s="3" t="s">
        <v>34</v>
      </c>
      <c r="C22" s="3" t="s">
        <v>35</v>
      </c>
      <c r="D22" s="3">
        <f>34+12/60</f>
        <v>34.200000000000003</v>
      </c>
      <c r="E22" s="3">
        <f>38+57/60</f>
        <v>38.950000000000003</v>
      </c>
    </row>
    <row r="23" spans="1:5" x14ac:dyDescent="0.2">
      <c r="A23" s="3"/>
      <c r="B23" s="4" t="s">
        <v>36</v>
      </c>
      <c r="C23" s="3" t="s">
        <v>37</v>
      </c>
      <c r="D23" s="3">
        <f>33+25/60</f>
        <v>33.416666666666664</v>
      </c>
      <c r="E23" s="3">
        <f>39+34/60</f>
        <v>39.56666666666667</v>
      </c>
    </row>
    <row r="24" spans="1:5" x14ac:dyDescent="0.2">
      <c r="A24" s="3"/>
      <c r="B24" s="3" t="s">
        <v>38</v>
      </c>
      <c r="C24" s="3" t="s">
        <v>38</v>
      </c>
      <c r="D24" s="3">
        <f>33+28/60</f>
        <v>33.466666666666669</v>
      </c>
      <c r="E24" s="3">
        <f>39+50/60</f>
        <v>39.833333333333336</v>
      </c>
    </row>
    <row r="25" spans="1:5" x14ac:dyDescent="0.2">
      <c r="A25" s="3"/>
      <c r="B25" s="4" t="s">
        <v>40</v>
      </c>
      <c r="C25" s="3" t="s">
        <v>39</v>
      </c>
      <c r="D25" s="3">
        <f>34+48/60</f>
        <v>34.799999999999997</v>
      </c>
      <c r="E25" s="3">
        <f>40+58/60</f>
        <v>40.966666666666669</v>
      </c>
    </row>
    <row r="26" spans="1:5" x14ac:dyDescent="0.2">
      <c r="A26" s="3"/>
      <c r="B26" s="3" t="s">
        <v>42</v>
      </c>
      <c r="C26" s="3" t="s">
        <v>43</v>
      </c>
      <c r="D26" s="5">
        <f>35+15/60</f>
        <v>35.25</v>
      </c>
      <c r="E26" s="5">
        <f>41+20/60</f>
        <v>41.333333333333336</v>
      </c>
    </row>
    <row r="27" spans="1:5" x14ac:dyDescent="0.2">
      <c r="A27" s="3"/>
      <c r="B27" s="4" t="s">
        <v>41</v>
      </c>
      <c r="C27" s="3" t="s">
        <v>44</v>
      </c>
      <c r="D27" s="3">
        <f>35+48/60</f>
        <v>35.799999999999997</v>
      </c>
      <c r="E27" s="5">
        <f>41+23/60</f>
        <v>41.383333333333333</v>
      </c>
    </row>
    <row r="28" spans="1:5" x14ac:dyDescent="0.2">
      <c r="A28" s="3" t="s">
        <v>45</v>
      </c>
      <c r="B28" s="4" t="s">
        <v>46</v>
      </c>
      <c r="C28" s="3" t="s">
        <v>47</v>
      </c>
      <c r="D28" s="3">
        <f>39+56/60</f>
        <v>39.93333333333333</v>
      </c>
      <c r="E28" s="3">
        <f>38+41/60</f>
        <v>38.68333333333333</v>
      </c>
    </row>
    <row r="29" spans="1:5" x14ac:dyDescent="0.2">
      <c r="A29" s="3"/>
      <c r="B29" s="4" t="s">
        <v>48</v>
      </c>
      <c r="C29" s="3" t="s">
        <v>49</v>
      </c>
      <c r="D29" s="3">
        <f>40+31/60</f>
        <v>40.516666666666666</v>
      </c>
      <c r="E29" s="3">
        <f>38+45/60</f>
        <v>38.75</v>
      </c>
    </row>
    <row r="30" spans="1:5" x14ac:dyDescent="0.2">
      <c r="A30" s="3"/>
      <c r="B30" s="4" t="s">
        <v>50</v>
      </c>
      <c r="C30" s="3" t="s">
        <v>51</v>
      </c>
      <c r="D30" s="3">
        <f>41+30/60</f>
        <v>41.5</v>
      </c>
      <c r="E30" s="3">
        <f>38+52/60</f>
        <v>38.866666666666667</v>
      </c>
    </row>
    <row r="31" spans="1:5" x14ac:dyDescent="0.2">
      <c r="A31" s="3"/>
      <c r="B31" s="4" t="s">
        <v>50</v>
      </c>
      <c r="C31" s="3" t="s">
        <v>52</v>
      </c>
      <c r="D31" s="3">
        <f>42+6/60</f>
        <v>42.1</v>
      </c>
      <c r="E31" s="3">
        <f>39+ 7/60</f>
        <v>39.116666666666667</v>
      </c>
    </row>
    <row r="32" spans="1:5" x14ac:dyDescent="0.2">
      <c r="A32" s="3"/>
      <c r="B32" s="4" t="s">
        <v>50</v>
      </c>
      <c r="C32" s="3" t="s">
        <v>53</v>
      </c>
      <c r="D32" s="3">
        <f>42+30/60</f>
        <v>42.5</v>
      </c>
      <c r="E32" s="3">
        <f>39+ 9/60</f>
        <v>39.15</v>
      </c>
    </row>
    <row r="33" spans="1:5" x14ac:dyDescent="0.2">
      <c r="A33" s="3"/>
      <c r="B33" s="3"/>
      <c r="C33" s="4" t="s">
        <v>54</v>
      </c>
      <c r="D33" s="3"/>
      <c r="E33" s="3"/>
    </row>
    <row r="34" spans="1:5" x14ac:dyDescent="0.2">
      <c r="A34" s="3" t="s">
        <v>55</v>
      </c>
      <c r="B34" s="4" t="s">
        <v>56</v>
      </c>
      <c r="C34" s="4" t="s">
        <v>56</v>
      </c>
      <c r="D34" s="3">
        <f xml:space="preserve"> 35+50/60</f>
        <v>35.833333333333336</v>
      </c>
      <c r="E34" s="3">
        <f xml:space="preserve"> 40+39/60</f>
        <v>40.65</v>
      </c>
    </row>
    <row r="35" spans="1:5" x14ac:dyDescent="0.2">
      <c r="A35" s="3"/>
      <c r="B35" s="4"/>
      <c r="C35" s="3" t="s">
        <v>57</v>
      </c>
      <c r="D35" s="3">
        <f>36+19/60</f>
        <v>36.31666666666667</v>
      </c>
      <c r="E35" s="3">
        <f>40+45/60</f>
        <v>40.75</v>
      </c>
    </row>
    <row r="36" spans="1:5" x14ac:dyDescent="0.2">
      <c r="A36" s="3"/>
      <c r="B36" s="3"/>
      <c r="C36" s="3" t="s">
        <v>58</v>
      </c>
      <c r="D36" s="3">
        <f>36+55/60</f>
        <v>36.916666666666664</v>
      </c>
      <c r="E36" s="3">
        <f>40+34/60</f>
        <v>40.56666666666667</v>
      </c>
    </row>
    <row r="37" spans="1:5" x14ac:dyDescent="0.2">
      <c r="A37" s="3"/>
      <c r="B37" s="3"/>
      <c r="C37" s="3" t="s">
        <v>60</v>
      </c>
      <c r="D37" s="3">
        <f>37+20/60</f>
        <v>37.333333333333336</v>
      </c>
      <c r="E37" s="3">
        <f>40+23/60</f>
        <v>40.383333333333333</v>
      </c>
    </row>
    <row r="38" spans="1:5" x14ac:dyDescent="0.2">
      <c r="A38" s="3"/>
      <c r="B38" s="3"/>
      <c r="C38" s="4" t="s">
        <v>59</v>
      </c>
      <c r="D38" s="3"/>
      <c r="E38" s="3"/>
    </row>
    <row r="39" spans="1:5" x14ac:dyDescent="0.2">
      <c r="A39" s="3" t="s">
        <v>64</v>
      </c>
      <c r="B39" s="3" t="s">
        <v>61</v>
      </c>
      <c r="C39" s="3" t="s">
        <v>62</v>
      </c>
      <c r="D39" s="3">
        <f>36+5/60</f>
        <v>36.083333333333336</v>
      </c>
      <c r="E39" s="3">
        <f>40+23/60</f>
        <v>40.383333333333333</v>
      </c>
    </row>
    <row r="40" spans="1:5" x14ac:dyDescent="0.2">
      <c r="A40" s="3"/>
      <c r="B40" s="3"/>
      <c r="C40" s="3" t="s">
        <v>61</v>
      </c>
      <c r="D40" s="3">
        <f>36+33/60</f>
        <v>36.549999999999997</v>
      </c>
      <c r="E40" s="3">
        <f>40+20/60</f>
        <v>40.333333333333336</v>
      </c>
    </row>
    <row r="41" spans="1:5" x14ac:dyDescent="0.2">
      <c r="A41" s="3"/>
      <c r="B41" s="3"/>
      <c r="C41" s="3" t="s">
        <v>63</v>
      </c>
      <c r="D41" s="3">
        <f>36+54/60</f>
        <v>36.9</v>
      </c>
      <c r="E41" s="3">
        <f>40+23/60</f>
        <v>40.383333333333333</v>
      </c>
    </row>
    <row r="42" spans="1:5" x14ac:dyDescent="0.2">
      <c r="A42" s="3"/>
      <c r="B42" s="3"/>
      <c r="C42" s="4" t="s">
        <v>59</v>
      </c>
      <c r="D42" s="3"/>
      <c r="E42" s="3"/>
    </row>
    <row r="43" spans="1:5" x14ac:dyDescent="0.2">
      <c r="A43" s="4" t="s">
        <v>65</v>
      </c>
      <c r="B43" s="4" t="s">
        <v>66</v>
      </c>
      <c r="C43" s="3" t="s">
        <v>67</v>
      </c>
      <c r="D43" s="3">
        <f>31+40/60</f>
        <v>31.666666666666668</v>
      </c>
      <c r="E43" s="3">
        <f>40+3/60</f>
        <v>40.049999999999997</v>
      </c>
    </row>
    <row r="44" spans="1:5" x14ac:dyDescent="0.2">
      <c r="A44" s="4"/>
      <c r="B44" s="4"/>
      <c r="C44" s="3" t="s">
        <v>68</v>
      </c>
      <c r="D44" s="3">
        <f>31+59/60</f>
        <v>31.983333333333334</v>
      </c>
      <c r="E44" s="3">
        <f>39+28/60</f>
        <v>39.466666666666669</v>
      </c>
    </row>
    <row r="45" spans="1:5" x14ac:dyDescent="0.2">
      <c r="B45" s="3" t="s">
        <v>69</v>
      </c>
      <c r="C45" s="3" t="s">
        <v>70</v>
      </c>
      <c r="D45" s="3">
        <f>31+43/60</f>
        <v>31.716666666666665</v>
      </c>
      <c r="E45" s="3">
        <f>39+9/60</f>
        <v>39.15</v>
      </c>
    </row>
    <row r="46" spans="1:5" x14ac:dyDescent="0.2">
      <c r="A46" s="4" t="s">
        <v>71</v>
      </c>
      <c r="B46" s="4" t="s">
        <v>69</v>
      </c>
      <c r="C46" s="4" t="s">
        <v>69</v>
      </c>
      <c r="D46" s="4">
        <f>30+32/60</f>
        <v>30.533333333333335</v>
      </c>
      <c r="E46" s="4">
        <f>39+46/60</f>
        <v>39.766666666666666</v>
      </c>
    </row>
    <row r="47" spans="1:5" x14ac:dyDescent="0.2">
      <c r="A47" s="4"/>
      <c r="B47" s="4"/>
      <c r="C47" s="4" t="s">
        <v>72</v>
      </c>
      <c r="D47" s="3">
        <f>31+29/60</f>
        <v>31.483333333333334</v>
      </c>
      <c r="E47" s="3">
        <f>39+42/60</f>
        <v>39.700000000000003</v>
      </c>
    </row>
    <row r="48" spans="1:5" x14ac:dyDescent="0.2">
      <c r="C48" s="3" t="s">
        <v>59</v>
      </c>
      <c r="E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zoomScale="160" zoomScaleNormal="160" zoomScalePageLayoutView="160" workbookViewId="0">
      <selection activeCell="B3" sqref="B3"/>
    </sheetView>
  </sheetViews>
  <sheetFormatPr baseColWidth="10" defaultRowHeight="16" x14ac:dyDescent="0.2"/>
  <cols>
    <col min="1" max="1" width="19" bestFit="1" customWidth="1"/>
  </cols>
  <sheetData>
    <row r="1" spans="1:3" x14ac:dyDescent="0.2">
      <c r="A1" s="2" t="s">
        <v>6</v>
      </c>
      <c r="B1" s="2" t="s">
        <v>73</v>
      </c>
      <c r="C1" s="2" t="s">
        <v>74</v>
      </c>
    </row>
    <row r="2" spans="1:3" x14ac:dyDescent="0.2">
      <c r="A2" s="2" t="s">
        <v>8</v>
      </c>
      <c r="B2">
        <f>36.2333333333333+0.1</f>
        <v>36.3333333333333</v>
      </c>
      <c r="C2">
        <v>38.666666666666664</v>
      </c>
    </row>
    <row r="3" spans="1:3" x14ac:dyDescent="0.2">
      <c r="A3" s="2" t="s">
        <v>8</v>
      </c>
      <c r="B3">
        <f>35.9833333333333+0.1</f>
        <v>36.0833333333333</v>
      </c>
      <c r="C3">
        <v>38.416666666666664</v>
      </c>
    </row>
    <row r="4" spans="1:3" x14ac:dyDescent="0.2">
      <c r="A4" s="2" t="s">
        <v>8</v>
      </c>
      <c r="B4">
        <f>35.7833333333333+0.1</f>
        <v>35.883333333333304</v>
      </c>
      <c r="C4">
        <v>38.216666666666669</v>
      </c>
    </row>
    <row r="5" spans="1:3" x14ac:dyDescent="0.2">
      <c r="A5" s="2" t="s">
        <v>8</v>
      </c>
      <c r="B5">
        <f>35.7666666666667-0.15</f>
        <v>35.616666666666703</v>
      </c>
      <c r="C5">
        <v>37.700000000000003</v>
      </c>
    </row>
    <row r="6" spans="1:3" x14ac:dyDescent="0.2">
      <c r="A6" s="2" t="s">
        <v>8</v>
      </c>
      <c r="B6">
        <v>35.283333333333331</v>
      </c>
      <c r="C6">
        <v>37.200000000000003</v>
      </c>
    </row>
    <row r="7" spans="1:3" x14ac:dyDescent="0.2">
      <c r="A7" s="2" t="s">
        <v>8</v>
      </c>
      <c r="B7">
        <v>35.333333333333336</v>
      </c>
      <c r="C7">
        <v>36.983333333333334</v>
      </c>
    </row>
    <row r="8" spans="1:3" x14ac:dyDescent="0.2">
      <c r="A8" s="2" t="s">
        <v>17</v>
      </c>
      <c r="B8">
        <v>38.733333333333334</v>
      </c>
      <c r="C8">
        <v>38.799999999999997</v>
      </c>
    </row>
    <row r="9" spans="1:3" x14ac:dyDescent="0.2">
      <c r="A9" s="2" t="s">
        <v>17</v>
      </c>
      <c r="B9">
        <v>38.450000000000003</v>
      </c>
      <c r="C9">
        <v>38.483333333333334</v>
      </c>
    </row>
    <row r="10" spans="1:3" x14ac:dyDescent="0.2">
      <c r="A10" s="2" t="s">
        <v>17</v>
      </c>
      <c r="B10">
        <v>38.466666666666669</v>
      </c>
      <c r="C10">
        <v>37.56666666666667</v>
      </c>
    </row>
    <row r="11" spans="1:3" x14ac:dyDescent="0.2">
      <c r="A11" s="2" t="s">
        <v>17</v>
      </c>
      <c r="B11">
        <v>37.866666666666667</v>
      </c>
      <c r="C11">
        <v>37.133333333333333</v>
      </c>
    </row>
    <row r="12" spans="1:3" x14ac:dyDescent="0.2">
      <c r="A12" s="2" t="s">
        <v>22</v>
      </c>
      <c r="B12">
        <v>37.75</v>
      </c>
      <c r="C12">
        <v>39.9</v>
      </c>
    </row>
    <row r="13" spans="1:3" x14ac:dyDescent="0.2">
      <c r="A13" s="2" t="s">
        <v>22</v>
      </c>
      <c r="B13">
        <v>37.383333333333333</v>
      </c>
      <c r="C13">
        <v>39.833333333333336</v>
      </c>
    </row>
    <row r="14" spans="1:3" x14ac:dyDescent="0.2">
      <c r="A14" s="2" t="s">
        <v>22</v>
      </c>
      <c r="B14">
        <v>37</v>
      </c>
      <c r="C14">
        <v>39.733333333333334</v>
      </c>
    </row>
    <row r="15" spans="1:3" x14ac:dyDescent="0.2">
      <c r="A15" s="2" t="s">
        <v>22</v>
      </c>
      <c r="B15">
        <v>36.383333333333333</v>
      </c>
      <c r="C15">
        <v>39.5</v>
      </c>
    </row>
    <row r="16" spans="1:3" x14ac:dyDescent="0.2">
      <c r="A16" s="2" t="s">
        <v>22</v>
      </c>
      <c r="B16">
        <v>36.25</v>
      </c>
      <c r="C16">
        <v>39.383333333333333</v>
      </c>
    </row>
    <row r="17" spans="1:3" x14ac:dyDescent="0.2">
      <c r="A17" s="2" t="s">
        <v>22</v>
      </c>
      <c r="B17">
        <v>35.93333333333333</v>
      </c>
      <c r="C17">
        <v>39.18333333333333</v>
      </c>
    </row>
    <row r="18" spans="1:3" x14ac:dyDescent="0.2">
      <c r="A18" s="2" t="s">
        <v>22</v>
      </c>
      <c r="B18">
        <v>35.383333333333333</v>
      </c>
      <c r="C18">
        <v>38.93333333333333</v>
      </c>
    </row>
    <row r="19" spans="1:3" x14ac:dyDescent="0.2">
      <c r="A19" s="2" t="s">
        <v>22</v>
      </c>
      <c r="B19">
        <v>34.833333333333336</v>
      </c>
      <c r="C19">
        <v>38.716666666666669</v>
      </c>
    </row>
    <row r="20" spans="1:3" x14ac:dyDescent="0.2">
      <c r="A20" s="2" t="s">
        <v>22</v>
      </c>
      <c r="B20">
        <v>34.200000000000003</v>
      </c>
      <c r="C20">
        <v>38.950000000000003</v>
      </c>
    </row>
    <row r="21" spans="1:3" x14ac:dyDescent="0.2">
      <c r="A21" s="2" t="s">
        <v>22</v>
      </c>
      <c r="B21">
        <v>33.416666666666664</v>
      </c>
      <c r="C21">
        <v>39.56666666666667</v>
      </c>
    </row>
    <row r="22" spans="1:3" x14ac:dyDescent="0.2">
      <c r="A22" s="2" t="s">
        <v>22</v>
      </c>
      <c r="B22">
        <v>33.466666666666669</v>
      </c>
      <c r="C22">
        <v>39.833333333333336</v>
      </c>
    </row>
    <row r="23" spans="1:3" x14ac:dyDescent="0.2">
      <c r="A23" s="2" t="s">
        <v>22</v>
      </c>
      <c r="B23">
        <v>34.799999999999997</v>
      </c>
      <c r="C23">
        <v>40.966666666666669</v>
      </c>
    </row>
    <row r="24" spans="1:3" x14ac:dyDescent="0.2">
      <c r="A24" s="2" t="s">
        <v>22</v>
      </c>
      <c r="B24">
        <v>35.25</v>
      </c>
      <c r="C24">
        <v>41.333333333333336</v>
      </c>
    </row>
    <row r="25" spans="1:3" x14ac:dyDescent="0.2">
      <c r="A25" s="2" t="s">
        <v>22</v>
      </c>
      <c r="B25">
        <v>35.799999999999997</v>
      </c>
      <c r="C25">
        <v>41.383333333333333</v>
      </c>
    </row>
    <row r="26" spans="1:3" x14ac:dyDescent="0.2">
      <c r="A26" s="2" t="s">
        <v>45</v>
      </c>
      <c r="B26">
        <v>39.93333333333333</v>
      </c>
      <c r="C26">
        <v>38.68333333333333</v>
      </c>
    </row>
    <row r="27" spans="1:3" x14ac:dyDescent="0.2">
      <c r="A27" s="2" t="s">
        <v>45</v>
      </c>
      <c r="B27">
        <v>40.516666666666666</v>
      </c>
      <c r="C27">
        <v>38.75</v>
      </c>
    </row>
    <row r="28" spans="1:3" x14ac:dyDescent="0.2">
      <c r="A28" s="2" t="s">
        <v>45</v>
      </c>
      <c r="B28">
        <v>41.5</v>
      </c>
      <c r="C28">
        <v>38.866666666666667</v>
      </c>
    </row>
    <row r="29" spans="1:3" x14ac:dyDescent="0.2">
      <c r="A29" s="2" t="s">
        <v>45</v>
      </c>
      <c r="B29">
        <v>42.1</v>
      </c>
      <c r="C29">
        <v>39.116666666666667</v>
      </c>
    </row>
    <row r="30" spans="1:3" x14ac:dyDescent="0.2">
      <c r="A30" s="2" t="s">
        <v>45</v>
      </c>
      <c r="B30">
        <v>42.5</v>
      </c>
      <c r="C30">
        <v>39.15</v>
      </c>
    </row>
    <row r="31" spans="1:3" x14ac:dyDescent="0.2">
      <c r="A31" s="2" t="s">
        <v>55</v>
      </c>
      <c r="B31">
        <v>35.833333333333336</v>
      </c>
      <c r="C31">
        <v>40.65</v>
      </c>
    </row>
    <row r="32" spans="1:3" x14ac:dyDescent="0.2">
      <c r="A32" s="2" t="s">
        <v>55</v>
      </c>
      <c r="B32">
        <v>36.31666666666667</v>
      </c>
      <c r="C32">
        <v>40.75</v>
      </c>
    </row>
    <row r="33" spans="1:3" x14ac:dyDescent="0.2">
      <c r="A33" s="2" t="s">
        <v>55</v>
      </c>
      <c r="B33">
        <v>36.916666666666664</v>
      </c>
      <c r="C33">
        <v>40.56666666666667</v>
      </c>
    </row>
    <row r="34" spans="1:3" x14ac:dyDescent="0.2">
      <c r="A34" s="2" t="s">
        <v>55</v>
      </c>
      <c r="B34">
        <v>37.333333333333336</v>
      </c>
      <c r="C34">
        <v>40.383333333333333</v>
      </c>
    </row>
    <row r="35" spans="1:3" x14ac:dyDescent="0.2">
      <c r="A35" s="2" t="s">
        <v>64</v>
      </c>
      <c r="B35">
        <v>36.083333333333336</v>
      </c>
      <c r="C35">
        <v>40.383333333333333</v>
      </c>
    </row>
    <row r="36" spans="1:3" x14ac:dyDescent="0.2">
      <c r="A36" s="2" t="s">
        <v>64</v>
      </c>
      <c r="B36">
        <v>36.549999999999997</v>
      </c>
      <c r="C36">
        <v>40.333333333333336</v>
      </c>
    </row>
    <row r="37" spans="1:3" x14ac:dyDescent="0.2">
      <c r="A37" s="2" t="s">
        <v>64</v>
      </c>
      <c r="B37">
        <v>36.9</v>
      </c>
      <c r="C37">
        <v>40.383333333333333</v>
      </c>
    </row>
    <row r="38" spans="1:3" x14ac:dyDescent="0.2">
      <c r="A38" s="6" t="s">
        <v>65</v>
      </c>
      <c r="B38">
        <v>31.666666666666668</v>
      </c>
      <c r="C38">
        <v>40.049999999999997</v>
      </c>
    </row>
    <row r="39" spans="1:3" x14ac:dyDescent="0.2">
      <c r="A39" s="6" t="s">
        <v>65</v>
      </c>
      <c r="B39">
        <v>31.983333333333334</v>
      </c>
      <c r="C39">
        <v>39.466666666666669</v>
      </c>
    </row>
    <row r="40" spans="1:3" x14ac:dyDescent="0.2">
      <c r="A40" s="6" t="s">
        <v>65</v>
      </c>
      <c r="B40">
        <v>31.716666666666665</v>
      </c>
      <c r="C40">
        <v>39.15</v>
      </c>
    </row>
    <row r="41" spans="1:3" x14ac:dyDescent="0.2">
      <c r="A41" s="6" t="s">
        <v>71</v>
      </c>
      <c r="B41">
        <v>30.533333333333335</v>
      </c>
      <c r="C41">
        <v>39.766666666666666</v>
      </c>
    </row>
    <row r="42" spans="1:3" x14ac:dyDescent="0.2">
      <c r="A42" s="6" t="s">
        <v>71</v>
      </c>
      <c r="B42">
        <v>31.483333333333334</v>
      </c>
      <c r="C42">
        <v>39.700000000000003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2017-06-23T12:49:08Z</dcterms:created>
  <dcterms:modified xsi:type="dcterms:W3CDTF">2017-06-25T01:41:46Z</dcterms:modified>
</cp:coreProperties>
</file>